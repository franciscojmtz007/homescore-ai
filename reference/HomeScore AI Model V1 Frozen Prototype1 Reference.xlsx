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8607e2238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7464986474f42ad"/>
    <x:sheet xmlns:r="http://schemas.openxmlformats.org/officeDocument/2006/relationships" name="Criteria" sheetId="2" r:id="R870692daf25f4c5f"/>
    <x:sheet xmlns:r="http://schemas.openxmlformats.org/officeDocument/2006/relationships" name="Homes" sheetId="3" r:id="Rfcd7b38b29944eb1"/>
    <x:sheet xmlns:r="http://schemas.openxmlformats.org/officeDocument/2006/relationships" name="Buyer Preferences" sheetId="4" r:id="Rb1a7968d3ea94064"/>
    <x:sheet xmlns:r="http://schemas.openxmlformats.org/officeDocument/2006/relationships" name="Model 1 - Relative" sheetId="5" r:id="R2d5d850d687b44fe"/>
    <x:sheet xmlns:r="http://schemas.openxmlformats.org/officeDocument/2006/relationships" name="Buyer - Model 2" sheetId="6" r:id="Rf772f0f4a41f44df"/>
    <x:sheet xmlns:r="http://schemas.openxmlformats.org/officeDocument/2006/relationships" name="Affordability Lab" sheetId="7" r:id="Re2ef226ac350462a"/>
    <x:sheet xmlns:r="http://schemas.openxmlformats.org/officeDocument/2006/relationships" name="Development Journal" sheetId="8" r:id="R92a67e11ab6b482a"/>
    <x:sheet xmlns:r="http://schemas.openxmlformats.org/officeDocument/2006/relationships" name="Location Lab" sheetId="9" r:id="Red39bffb88834dd8"/>
    <x:sheet xmlns:r="http://schemas.openxmlformats.org/officeDocument/2006/relationships" name="Property Lab" sheetId="10" r:id="Ra53bb097c0a24baa"/>
    <x:sheet xmlns:r="http://schemas.openxmlformats.org/officeDocument/2006/relationships" name="HomeScore V1" sheetId="11" r:id="R3894c1a9de8e4d32"/>
    <x:sheet xmlns:r="http://schemas.openxmlformats.org/officeDocument/2006/relationships" name="V7 Stress Test" sheetId="12" r:id="R23dca54bb06a4ef5"/>
    <x:sheet xmlns:r="http://schemas.openxmlformats.org/officeDocument/2006/relationships" name="Prototype 1 Spec" sheetId="13" r:id="Rcc78c55831af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#,##0"/>
    <x:numFmt numFmtId="201" formatCode="0.0%"/>
    <x:numFmt numFmtId="202" formatCode="0.0&quot;%&quot;"/>
    <x:numFmt numFmtId="203" formatCode="0.000"/>
    <x:numFmt numFmtId="204" formatCode="0.0"/>
    <x:numFmt numFmtId="205" formatCode="$#,##0;[Red]($#,##0);-"/>
    <x:numFmt numFmtId="206" formatCode="0.00%"/>
    <x:numFmt numFmtId="207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4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7" fontId="5" fillId="0" borderId="0" xfId="0" applyNumberFormat="1" applyFont="1" applyFill="1" applyBorder="1"/>
    <x:xf numFmtId="201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205" fontId="0" fillId="0" borderId="0" xfId="0" applyNumberFormat="1" applyFont="1" applyFill="1" applyBorder="1"/>
    <x:xf numFmtId="205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6" fontId="5" fillId="8" borderId="0" xfId="0" applyNumberFormat="1" applyFont="1" applyFill="1" applyBorder="1"/>
    <x:xf numFmtId="207" fontId="5" fillId="8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left" wrapText="1"/>
    </x:xf>
    <x:xf numFmtId="207" fontId="0" fillId="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/>
    <x:xf numFmtId="0" fontId="7" fillId="11" borderId="0" xfId="0" applyNumberFormat="1" applyFont="1" applyFill="1" applyBorder="1" applyAlignment="1">
      <x:alignment horizont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left" wrapText="1"/>
    </x:xf>
    <x:xf numFmtId="0" fontId="8" fillId="9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/>
    <x:xf numFmtId="0" fontId="7" fillId="13" borderId="0" xfId="0" applyNumberFormat="1" applyFont="1" applyFill="1" applyBorder="1" applyAlignment="1">
      <x:alignment horizontal="center" wrapText="1"/>
    </x:xf>
    <x:xf numFmtId="0" fontId="7" fillId="13" borderId="0" xfId="0" applyNumberFormat="1" applyFont="1" applyFill="1" applyBorder="1" applyAlignment="1">
      <x:alignment horizontal="center" vertical="center" wrapText="1"/>
    </x:xf>
    <x:xf numFmtId="207" fontId="0" fillId="0" borderId="0" xfId="0" applyNumberFormat="1" applyFont="1" applyFill="1" applyBorder="1"/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7d2b2509124a4f" /><Relationship Type="http://schemas.openxmlformats.org/officeDocument/2006/relationships/theme" Target="/xl/theme/theme1.xml" Id="Re6c83b5ba3484e35" /><Relationship Type="http://schemas.openxmlformats.org/officeDocument/2006/relationships/sharedStrings" Target="/xl/sharedStrings.xml" Id="R30dd8be678b64aa3" /><Relationship Type="http://schemas.openxmlformats.org/officeDocument/2006/relationships/worksheet" Target="/xl/worksheets/sheet1.xml" Id="Rd7464986474f42ad" /><Relationship Type="http://schemas.openxmlformats.org/officeDocument/2006/relationships/worksheet" Target="/xl/worksheets/sheet2.xml" Id="R870692daf25f4c5f" /><Relationship Type="http://schemas.openxmlformats.org/officeDocument/2006/relationships/worksheet" Target="/xl/worksheets/sheet3.xml" Id="Rfcd7b38b29944eb1" /><Relationship Type="http://schemas.openxmlformats.org/officeDocument/2006/relationships/worksheet" Target="/xl/worksheets/sheet4.xml" Id="Rb1a7968d3ea94064" /><Relationship Type="http://schemas.openxmlformats.org/officeDocument/2006/relationships/worksheet" Target="/xl/worksheets/sheet5.xml" Id="R2d5d850d687b44fe" /><Relationship Type="http://schemas.openxmlformats.org/officeDocument/2006/relationships/worksheet" Target="/xl/worksheets/sheet6.xml" Id="Rf772f0f4a41f44df" /><Relationship Type="http://schemas.openxmlformats.org/officeDocument/2006/relationships/worksheet" Target="/xl/worksheets/sheet7.xml" Id="Re2ef226ac350462a" /><Relationship Type="http://schemas.openxmlformats.org/officeDocument/2006/relationships/worksheet" Target="/xl/worksheets/sheet8.xml" Id="R92a67e11ab6b482a" /><Relationship Type="http://schemas.openxmlformats.org/officeDocument/2006/relationships/worksheet" Target="/xl/worksheets/sheet9.xml" Id="Red39bffb88834dd8" /><Relationship Type="http://schemas.openxmlformats.org/officeDocument/2006/relationships/worksheet" Target="/xl/worksheets/sheet10.xml" Id="Ra53bb097c0a24baa" /><Relationship Type="http://schemas.openxmlformats.org/officeDocument/2006/relationships/worksheet" Target="/xl/worksheets/sheet11.xml" Id="R3894c1a9de8e4d32" /><Relationship Type="http://schemas.openxmlformats.org/officeDocument/2006/relationships/worksheet" Target="/xl/worksheets/sheet12.xml" Id="R23dca54bb06a4ef5" /><Relationship Type="http://schemas.openxmlformats.org/officeDocument/2006/relationships/worksheet" Target="/xl/worksheets/sheet13.xml" Id="Rcc78c55831af43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19.200000762939453" hidden="0" customHeight="1">
      <x:c r="A1" s="5" t="str">
        <x:v>HomeScore AI — Model V1 Frozen / Prototype 1 Reference</x:v>
      </x:c>
      <x:c r="B1" s="5"/>
      <x:c r="C1" s="5"/>
      <x:c r="D1" s="5"/>
      <x:c r="E1" s="5"/>
      <x:c r="F1" s="5"/>
    </x:row>
    <x:row r="2">
      <x:c r="A2" t="str">
        <x:v>This workbook freezes the core scoring methodology before Prototype 1. Future UX/user-feedback changes should be tested against this reference model.</x:v>
      </x:c>
      <x:c r="B2"/>
    </x:row>
    <x:row r="3" ht="15" hidden="0" customHeight="1">
      <x:c r="A3" s="23" t="str">
        <x:v>Purpose</x:v>
      </x:c>
      <x:c r="B3" t="str">
        <x:v>Phase 1 spreadsheet laboratory for testing Francisco's HomeScore model before app implementation.</x:v>
      </x:c>
    </x:row>
    <x:row r="4" ht="15" hidden="0" customHeight="1">
      <x:c r="A4" s="23" t="str">
        <x:v>Model 1</x:v>
      </x:c>
      <x:c r="B4" t="str">
        <x:v>Relative min-max normalization preserved as the historical baseline from Qingyang's prototype.</x:v>
      </x:c>
    </x:row>
    <x:row r="5" ht="15" hidden="0" customHeight="1">
      <x:c r="A5" s="23" t="str">
        <x:v>Model 2</x:v>
      </x:c>
      <x:c r="B5" t="str">
        <x:v>Buyer Fit model: stable buyer-specific scoring using preferences, thresholds, and calculated outcomes.</x:v>
      </x:c>
    </x:row>
    <x:row r="6" ht="15" hidden="0" customHeight="1">
      <x:c r="A6" s="23" t="str">
        <x:v>V7 focus</x:v>
      </x:c>
      <x:c r="B6" t="str">
        <x:v>Simplify Location &amp; Lifestyle inputs while preserving personalized scoring and constraint checks.</x:v>
      </x:c>
    </x:row>
    <x:row r="7" ht="15" hidden="0" customHeight="1">
      <x:c r="A7" s="23" t="str">
        <x:v>Progressive UX</x:v>
      </x:c>
      <x:c r="B7" t="str">
        <x:v>Ask top-level importance first; reveal detailed questions only when importance is greater than 0.</x:v>
      </x:c>
    </x:row>
    <x:row r="8" ht="15" hidden="0" customHeight="1">
      <x:c r="A8" s="23" t="str">
        <x:v>School</x:v>
      </x:c>
      <x:c r="B8" t="str">
        <x:v>Importance + Minimum School Quality only. Actual 1–10 rating maps directly to 10–100 fit; below-minimum is a separate constraint.</x:v>
      </x:c>
    </x:row>
    <x:row r="9" ht="15" hidden="0" customHeight="1">
      <x:c r="A9" s="23" t="str">
        <x:v>Safety</x:v>
      </x:c>
      <x:c r="B9" t="str">
        <x:v>Importance + Minimum Safety Score only. Actual 1–10 rating maps directly to 10–100 fit; below-minimum is a separate constraint.</x:v>
      </x:c>
    </x:row>
    <x:row r="10" ht="15" hidden="0" customHeight="1">
      <x:c r="A10" s="23" t="str">
        <x:v>Commute</x:v>
      </x:c>
      <x:c r="B10" t="str">
        <x:v>Importance + Maximum Commute only. Fit = MAX(0, 100 - 50 × Actual / Maximum); exceeding maximum is a separate constraint.</x:v>
      </x:c>
    </x:row>
    <x:row r="11">
      <x:c r="A11" t="str">
        <x:v>Location Fit</x:v>
      </x:c>
      <x:c r="B11" t="str">
        <x:v>Weighted combination of School Fit, Safety Fit, and Commute Fit using normalized 0–5 importance choices.</x:v>
      </x:c>
    </x:row>
    <x:row r="12">
      <x:c r="A12" s="63" t="str">
        <x:v>Affordability</x:v>
      </x:c>
      <x:c r="B12" t="str">
        <x:v>Price Fit + Monthly Housing Cost Fit; financing inputs feed calculations rather than being independently scored.</x:v>
      </x:c>
    </x:row>
    <x:row r="13">
      <x:c r="A13" s="63" t="str">
        <x:v>Property</x:v>
      </x:c>
      <x:c r="B13" t="str">
        <x:v>Square Feet Fit + feature-based Amenities Fit; subjective Condition score remains removed.</x:v>
      </x:c>
    </x:row>
    <x:row r="14">
      <x:c r="A14" s="63" t="str">
        <x:v>Model V1 freeze</x:v>
      </x:c>
      <x:c r="B14" t="str">
        <x:v>Affordability + Location &amp; Lifestyle + Property are frozen as the Prototype 1 reference model. Investment Potential remains Research / Experimental.</x:v>
      </x:c>
    </x:row>
    <x:row r="15">
      <x:c r="A15" s="63" t="str">
        <x:v>Constraint architecture</x:v>
      </x:c>
      <x:c r="B15" t="str">
        <x:v>No arbitrary constraint penalties. Show homes meeting all stated thresholds first, then homes outside one or more thresholds, preserving the original HomeScore.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14" hidden="0" customWidth="1"/>
    <x:col min="6" max="6" width="42" hidden="0" customWidth="1"/>
    <x:col min="7" max="7" width="55" hidden="0" customWidth="1"/>
  </x:cols>
  <x:sheetData>
    <x:row r="1" ht="39.599998474121094" hidden="0" customHeight="1">
      <x:c r="A1" s="79" t="str">
        <x:v>Criterion</x:v>
      </x:c>
      <x:c r="B1" s="79" t="str">
        <x:v>Category</x:v>
      </x:c>
      <x:c r="C1" s="79" t="str">
        <x:v>Direction / Type</x:v>
      </x:c>
      <x:c r="D1" s="79" t="str">
        <x:v>V1 Measurement</x:v>
      </x:c>
      <x:c r="E1" s="79" t="str">
        <x:v>Status</x:v>
      </x:c>
      <x:c r="F1" s="79" t="str">
        <x:v>Rationale</x:v>
      </x:c>
      <x:c r="G1" s="14" t="str">
        <x:v>Description</x:v>
      </x:c>
    </x:row>
    <x:row r="2" ht="52.79999923706055" hidden="0" customHeight="1">
      <x:c r="A2" s="20" t="str">
        <x:v>Purchase Price</x:v>
      </x:c>
      <x:c r="B2" s="20" t="str">
        <x:v>Affordability</x:v>
      </x:c>
      <x:c r="C2" s="20" t="str">
        <x:v>Lower / Buyer Fit</x:v>
      </x:c>
      <x:c r="D2" s="20" t="str">
        <x:v>Target + maximum purchase price</x:v>
      </x:c>
      <x:c r="E2" s="20" t="str">
        <x:v>Active</x:v>
      </x:c>
      <x:c r="F2" s="20" t="str">
        <x:v>Buyer-specific affordability fit</x:v>
      </x:c>
      <x:c r="G2" s="20" t="str">
        <x:v>Advertised or negotiated purchase price.</x:v>
      </x:c>
    </x:row>
    <x:row r="3" ht="79.19999694824219" hidden="0" customHeight="1">
      <x:c r="A3" s="20" t="str">
        <x:v>Monthly Housing Cost</x:v>
      </x:c>
      <x:c r="B3" s="20" t="str">
        <x:v>Affordability</x:v>
      </x:c>
      <x:c r="C3" s="20" t="str">
        <x:v>Lower / Buyer Fit</x:v>
      </x:c>
      <x:c r="D3" s="20" t="str">
        <x:v>Calculated monthly housing cost vs target + maximum</x:v>
      </x:c>
      <x:c r="E3" s="20" t="str">
        <x:v>Active</x:v>
      </x:c>
      <x:c r="F3" s="20" t="str">
        <x:v>Combines financing and recurring housing costs</x:v>
      </x:c>
      <x:c r="G3" s="20" t="str">
        <x:v>Use a consistent definition across homes, such as principal, interest, taxes, insurance, and HOA.</x:v>
      </x:c>
    </x:row>
    <x:row r="4" ht="52.79999923706055" hidden="0" customHeight="1">
      <x:c r="A4" s="20" t="str">
        <x:v>School Quality</x:v>
      </x:c>
      <x:c r="B4" s="20" t="str">
        <x:v>Location &amp; Lifestyle</x:v>
      </x:c>
      <x:c r="C4" s="20" t="str">
        <x:v>Higher / Buyer Fit</x:v>
      </x:c>
      <x:c r="D4" s="20" t="str">
        <x:v>Actual 1–10 rating; buyer supplies minimum only</x:v>
      </x:c>
      <x:c r="E4" s="20" t="str">
        <x:v>Active</x:v>
      </x:c>
      <x:c r="F4" s="20" t="str">
        <x:v>Preserves quality difference while minimizing user input</x:v>
      </x:c>
      <x:c r="G4" s="20" t="str">
        <x:v>Documented school-quality rating; source and definition must be recorded.</x:v>
      </x:c>
    </x:row>
    <x:row r="5" ht="52.79999923706055" hidden="0" customHeight="1">
      <x:c r="A5" s="20" t="str">
        <x:v>Safety</x:v>
      </x:c>
      <x:c r="B5" s="20" t="str">
        <x:v>Location &amp; Lifestyle</x:v>
      </x:c>
      <x:c r="C5" s="20" t="str">
        <x:v>Higher / Buyer Fit</x:v>
      </x:c>
      <x:c r="D5" s="20" t="str">
        <x:v>Actual 1–10 rating; buyer supplies minimum only</x:v>
      </x:c>
      <x:c r="E5" s="20" t="str">
        <x:v>Active</x:v>
      </x:c>
      <x:c r="F5" s="20" t="str">
        <x:v>Preserves quality difference while minimizing user input</x:v>
      </x:c>
      <x:c r="G5" s="20" t="str">
        <x:v>Transparent safety measure with source, date, and geographic level recorded.</x:v>
      </x:c>
    </x:row>
    <x:row r="6" ht="39.599998474121094" hidden="0" customHeight="1">
      <x:c r="A6" s="20" t="str">
        <x:v>Commute</x:v>
      </x:c>
      <x:c r="B6" s="20" t="str">
        <x:v>Location &amp; Lifestyle</x:v>
      </x:c>
      <x:c r="C6" s="20" t="str">
        <x:v>Lower / Buyer Fit</x:v>
      </x:c>
      <x:c r="D6" s="20" t="str">
        <x:v>Actual minutes vs buyer maximum; V7 linear ratio model</x:v>
      </x:c>
      <x:c r="E6" s="20" t="str">
        <x:v>Active</x:v>
      </x:c>
      <x:c r="F6" s="20" t="str">
        <x:v>One primary destination in V1; maximum is a separate constraint</x:v>
      </x:c>
      <x:c r="G6" s="20" t="str">
        <x:v>Typical one-way commute under consistent assumptions for every home.</x:v>
      </x:c>
    </x:row>
    <x:row r="7" ht="39.599998474121094" hidden="0" customHeight="1">
      <x:c r="A7" s="20" t="str">
        <x:v>Square Feet</x:v>
      </x:c>
      <x:c r="B7" s="20" t="str">
        <x:v>Property</x:v>
      </x:c>
      <x:c r="C7" s="20" t="str">
        <x:v>Higher until target</x:v>
      </x:c>
      <x:c r="D7" s="20" t="str">
        <x:v>Minimum + target square feet</x:v>
      </x:c>
      <x:c r="E7" s="20" t="str">
        <x:v>Active</x:v>
      </x:c>
      <x:c r="F7" s="20" t="str">
        <x:v>Caps at 100 once target is reached</x:v>
      </x:c>
      <x:c r="G7" s="20" t="str">
        <x:v>Typical door-to-door commute under the same assumptions for every home.</x:v>
      </x:c>
    </x:row>
    <x:row r="8" ht="79.19999694824219" hidden="0" customHeight="1">
      <x:c r="A8" s="20" t="str">
        <x:v>Amenities</x:v>
      </x:c>
      <x:c r="B8" s="20" t="str">
        <x:v>Property</x:v>
      </x:c>
      <x:c r="C8" s="20" t="str">
        <x:v>Feature match</x:v>
      </x:c>
      <x:c r="D8" s="20" t="str">
        <x:v>Don't Care / Nice to Have / Must Have</x:v>
      </x:c>
      <x:c r="E8" s="20" t="str">
        <x:v>Active</x:v>
      </x:c>
      <x:c r="F8" s="20" t="str">
        <x:v>Personalized feature matching; missing must-haves are flagged</x:v>
      </x:c>
      <x:c r="G8" s="20" t="str">
        <x:v>Comparable finished interior area.</x:v>
      </x:c>
    </x:row>
    <x:row r="9" ht="39.599998474121094" hidden="0" customHeight="1">
      <x:c r="A9" s="20" t="str">
        <x:v>Appreciation Potential</x:v>
      </x:c>
      <x:c r="B9" s="20" t="str">
        <x:v>Investment</x:v>
      </x:c>
      <x:c r="C9" s="20" t="str">
        <x:v>Research / Experimental</x:v>
      </x:c>
      <x:c r="D9" s="20" t="str">
        <x:v>No active V1 score; future data-driven methodology</x:v>
      </x:c>
      <x:c r="E9" s="20" t="str">
        <x:v>Research / Experimental</x:v>
      </x:c>
      <x:c r="F9" s="20" t="str">
        <x:v>Avoid subjective future-appreciation predictions; require measurable inputs and validation.</x:v>
      </x:c>
      <x:c r="G9" s="20" t="str">
        <x:v>A consistent inspection-informed or rubric-based condition score.</x:v>
      </x:c>
    </x:row>
    <x:row r="10" ht="66" hidden="0" customHeight="1">
      <x:c r="A10" s="20" t="str">
        <x:v>Condition</x:v>
      </x:c>
      <x:c r="B10" s="20" t="str">
        <x:v>Property</x:v>
      </x:c>
      <x:c r="C10" s="20" t="str">
        <x:v>Removed</x:v>
      </x:c>
      <x:c r="D10" s="20" t="str">
        <x:v>Not scored in V1</x:v>
      </x:c>
      <x:c r="E10" s="20" t="str">
        <x:v>Removed</x:v>
      </x:c>
      <x:c r="F10" s="20" t="str">
        <x:v>Too subjective without a defensible assessment methodology</x:v>
      </x:c>
      <x:c r="G10" s="20" t="str">
        <x:v>A buyer-defined accessibility or availability score for desired amenities.</x:v>
      </x:c>
    </x:row>
    <x:row r="11" ht="15" hidden="0" customHeight="1">
      <x:c r="A11" s="20"/>
      <x:c r="B11" s="20"/>
      <x:c r="C11" s="20"/>
      <x:c r="D11" s="20"/>
      <x:c r="E11" s="20"/>
      <x:c r="F11" s="20"/>
      <x:c r="G11" s="20" t="str">
        <x:v>A highly uncertain scenario estimate, not a guaranteed forecast.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.630000114440918" hidden="0" customWidth="1"/>
    <x:col min="3" max="3" width="14.130000114440918" hidden="0" customWidth="1"/>
    <x:col min="4" max="4" width="16" hidden="0" customWidth="1"/>
    <x:col min="5" max="5" width="11.5" hidden="0" customWidth="1"/>
    <x:col min="6" max="6" width="9.880000114440918" hidden="0" customWidth="1"/>
    <x:col min="7" max="7" width="14.75" hidden="0" customWidth="1"/>
    <x:col min="8" max="8" width="12.25" hidden="0" customWidth="1"/>
    <x:col min="9" max="9" width="12.5" hidden="0" customWidth="1"/>
    <x:col min="10" max="10" width="12.880000114440918" hidden="0" customWidth="1"/>
    <x:col min="11" max="11" width="12.130000114440918" hidden="0" customWidth="1"/>
  </x:cols>
  <x:sheetData>
    <x:row r="1" ht="15" hidden="0" customHeight="1">
      <x:c r="A1" s="14" t="str">
        <x:v>Home Name</x:v>
      </x:c>
      <x:c r="B1" s="14" t="str">
        <x:v>Purchase Price</x:v>
      </x:c>
      <x:c r="C1" s="14" t="str">
        <x:v>Monthly Payment</x:v>
      </x:c>
      <x:c r="D1" s="14" t="str">
        <x:v>Annual Property Tax</x:v>
      </x:c>
      <x:c r="E1" s="14" t="str">
        <x:v>School Quality</x:v>
      </x:c>
      <x:c r="F1" s="14" t="str">
        <x:v>Safety Score</x:v>
      </x:c>
      <x:c r="G1" s="14" t="str">
        <x:v>Commute Minutes</x:v>
      </x:c>
      <x:c r="H1" s="14" t="str">
        <x:v>Home Size SqFt</x:v>
      </x:c>
      <x:c r="I1" s="14" t="str">
        <x:v>Condition Score</x:v>
      </x:c>
      <x:c r="J1" s="14" t="str">
        <x:v>Amenities Score</x:v>
      </x:c>
      <x:c r="K1" s="14" t="str">
        <x:v>Appreciation %</x:v>
      </x:c>
    </x:row>
    <x:row r="2" ht="15" hidden="0" customHeight="1">
      <x:c r="A2" t="str">
        <x:v>Maple Grove</x:v>
      </x:c>
      <x:c r="B2" s="30" t="n">
        <x:v>465000</x:v>
      </x:c>
      <x:c r="C2" s="30" t="n">
        <x:v>2920</x:v>
      </x:c>
      <x:c r="D2" s="30" t="n">
        <x:v>6200</x:v>
      </x:c>
      <x:c r="E2" t="n">
        <x:v>8.5</x:v>
      </x:c>
      <x:c r="F2" t="n">
        <x:v>86</x:v>
      </x:c>
      <x:c r="G2" t="n">
        <x:v>38</x:v>
      </x:c>
      <x:c r="H2" t="n">
        <x:v>1850</x:v>
      </x:c>
      <x:c r="I2" t="n">
        <x:v>8</x:v>
      </x:c>
      <x:c r="J2" t="n">
        <x:v>7.5</x:v>
      </x:c>
      <x:c r="K2" s="34" t="n">
        <x:v>3.8</x:v>
      </x:c>
    </x:row>
    <x:row r="3" ht="15" hidden="0" customHeight="1">
      <x:c r="A3" t="str">
        <x:v>Riverside Townhome</x:v>
      </x:c>
      <x:c r="B3" s="30" t="n">
        <x:v>410000</x:v>
      </x:c>
      <x:c r="C3" s="30" t="n">
        <x:v>2575</x:v>
      </x:c>
      <x:c r="D3" s="30" t="n">
        <x:v>5400</x:v>
      </x:c>
      <x:c r="E3" t="n">
        <x:v>7.8</x:v>
      </x:c>
      <x:c r="F3" t="n">
        <x:v>81</x:v>
      </x:c>
      <x:c r="G3" t="n">
        <x:v>29</x:v>
      </x:c>
      <x:c r="H3" t="n">
        <x:v>1600</x:v>
      </x:c>
      <x:c r="I3" t="n">
        <x:v>9</x:v>
      </x:c>
      <x:c r="J3" t="n">
        <x:v>8.7</x:v>
      </x:c>
      <x:c r="K3" s="34" t="n">
        <x:v>3.4</x:v>
      </x:c>
    </x:row>
    <x:row r="4" ht="15" hidden="0" customHeight="1">
      <x:c r="A4" t="str">
        <x:v>Oakview Condo</x:v>
      </x:c>
      <x:c r="B4" s="30" t="n">
        <x:v>355000</x:v>
      </x:c>
      <x:c r="C4" s="30" t="n">
        <x:v>2290</x:v>
      </x:c>
      <x:c r="D4" s="30" t="n">
        <x:v>4300</x:v>
      </x:c>
      <x:c r="E4" t="n">
        <x:v>7.2</x:v>
      </x:c>
      <x:c r="F4" t="n">
        <x:v>88</x:v>
      </x:c>
      <x:c r="G4" t="n">
        <x:v>22</x:v>
      </x:c>
      <x:c r="H4" t="n">
        <x:v>1250</x:v>
      </x:c>
      <x:c r="I4" t="n">
        <x:v>8.5</x:v>
      </x:c>
      <x:c r="J4" t="n">
        <x:v>9.2</x:v>
      </x:c>
      <x:c r="K4" s="34" t="n">
        <x:v>2.9</x:v>
      </x:c>
    </x:row>
    <x:row r="5" ht="15" hidden="0" customHeight="1">
      <x:c r="A5" t="str">
        <x:v>Pinecrest House</x:v>
      </x:c>
      <x:c r="B5" s="30" t="n">
        <x:v>520000</x:v>
      </x:c>
      <x:c r="C5" s="30" t="n">
        <x:v>3240</x:v>
      </x:c>
      <x:c r="D5" s="30" t="n">
        <x:v>6900</x:v>
      </x:c>
      <x:c r="E5" t="n">
        <x:v>9.3</x:v>
      </x:c>
      <x:c r="F5" t="n">
        <x:v>91</x:v>
      </x:c>
      <x:c r="G5" t="n">
        <x:v>45</x:v>
      </x:c>
      <x:c r="H5" t="n">
        <x:v>2300</x:v>
      </x:c>
      <x:c r="I5" t="n">
        <x:v>7.2</x:v>
      </x:c>
      <x:c r="J5" t="n">
        <x:v>6.8</x:v>
      </x:c>
      <x:c r="K5" s="34" t="n">
        <x:v>4.1</x:v>
      </x:c>
    </x:row>
    <x:row r="6" ht="15" hidden="0" customHeight="1">
      <x:c r="A6" t="str">
        <x:v>Lakeside Fixer</x:v>
      </x:c>
      <x:c r="B6" s="30" t="n">
        <x:v>390000</x:v>
      </x:c>
      <x:c r="C6" s="30" t="n">
        <x:v>2460</x:v>
      </x:c>
      <x:c r="D6" s="30" t="n">
        <x:v>4800</x:v>
      </x:c>
      <x:c r="E6" t="n">
        <x:v>8</x:v>
      </x:c>
      <x:c r="F6" t="n">
        <x:v>79</x:v>
      </x:c>
      <x:c r="G6" t="n">
        <x:v>35</x:v>
      </x:c>
      <x:c r="H6" t="n">
        <x:v>1950</x:v>
      </x:c>
      <x:c r="I6" t="n">
        <x:v>5.8</x:v>
      </x:c>
      <x:c r="J6" t="n">
        <x:v>7</x:v>
      </x:c>
      <x:c r="K6" s="34" t="n">
        <x:v>4.5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" hidden="0" customWidth="1"/>
    <x:col min="3" max="3" width="13" hidden="0" customWidth="1"/>
    <x:col min="4" max="4" width="15.130000114440918" hidden="0" customWidth="1"/>
    <x:col min="5" max="5" width="7.5" hidden="0" customWidth="1"/>
    <x:col min="6" max="6" width="42" hidden="0" customWidth="1"/>
  </x:cols>
  <x:sheetData>
    <x:row r="1" ht="15" hidden="0" customHeight="1">
      <x:c r="A1" s="14" t="str">
        <x:v>Criterion</x:v>
      </x:c>
      <x:c r="B1" s="14" t="str">
        <x:v>Use?</x:v>
      </x:c>
      <x:c r="C1" s="14" t="str">
        <x:v>Raw Importance</x:v>
      </x:c>
      <x:c r="D1" s="14" t="str">
        <x:v>Normalized Weight</x:v>
      </x:c>
      <x:c r="E1" s="14" t="str">
        <x:v>Direction</x:v>
      </x:c>
      <x:c r="F1" s="14" t="str">
        <x:v>Notes</x:v>
      </x:c>
    </x:row>
    <x:row r="2" ht="15" hidden="0" customHeight="1">
      <x:c r="A2" s="20" t="str">
        <x:v>Purchase price</x:v>
      </x:c>
      <x:c r="B2" s="20" t="str">
        <x:v>Yes</x:v>
      </x:c>
      <x:c r="C2" s="20" t="n">
        <x:v>10</x:v>
      </x:c>
      <x:c r="D2" s="36" t="n">
        <x:f>IF(B2="Yes",C2/SUMIF($B$2:$B$11,"Yes",$C$2:$C$11),0)</x:f>
        <x:v>0.1</x:v>
      </x:c>
      <x:c r="E2" s="20" t="str">
        <x:v>Lower</x:v>
      </x:c>
      <x:c r="F2" s="20" t="str">
        <x:v>Edit Raw Importance; it does not need to total 100.</x:v>
      </x:c>
    </x:row>
    <x:row r="3" ht="15" hidden="0" customHeight="1">
      <x:c r="A3" s="20" t="str">
        <x:v>Estimated monthly payment</x:v>
      </x:c>
      <x:c r="B3" s="20" t="str">
        <x:v>Yes</x:v>
      </x:c>
      <x:c r="C3" s="20" t="n">
        <x:v>10</x:v>
      </x:c>
      <x:c r="D3" s="36" t="n">
        <x:f>IF(B3="Yes",C3/SUMIF($B$2:$B$11,"Yes",$C$2:$C$11),0)</x:f>
        <x:v>0.1</x:v>
      </x:c>
      <x:c r="E3" s="20" t="str">
        <x:v>Lower</x:v>
      </x:c>
      <x:c r="F3" s="20" t="str">
        <x:v>Edit Raw Importance; it does not need to total 100.</x:v>
      </x:c>
    </x:row>
    <x:row r="4" ht="15" hidden="0" customHeight="1">
      <x:c r="A4" s="20" t="str">
        <x:v>Annual property tax</x:v>
      </x:c>
      <x:c r="B4" s="20" t="str">
        <x:v>Yes</x:v>
      </x:c>
      <x:c r="C4" s="20" t="n">
        <x:v>10</x:v>
      </x:c>
      <x:c r="D4" s="36" t="n">
        <x:f>IF(B4="Yes",C4/SUMIF($B$2:$B$11,"Yes",$C$2:$C$11),0)</x:f>
        <x:v>0.1</x:v>
      </x:c>
      <x:c r="E4" s="20" t="str">
        <x:v>Lower</x:v>
      </x:c>
      <x:c r="F4" s="20" t="str">
        <x:v>Edit Raw Importance; it does not need to total 100.</x:v>
      </x:c>
    </x:row>
    <x:row r="5" ht="15" hidden="0" customHeight="1">
      <x:c r="A5" s="20" t="str">
        <x:v>School quality</x:v>
      </x:c>
      <x:c r="B5" s="20" t="str">
        <x:v>Yes</x:v>
      </x:c>
      <x:c r="C5" s="20" t="n">
        <x:v>10</x:v>
      </x:c>
      <x:c r="D5" s="36" t="n">
        <x:f>IF(B5="Yes",C5/SUMIF($B$2:$B$11,"Yes",$C$2:$C$11),0)</x:f>
        <x:v>0.1</x:v>
      </x:c>
      <x:c r="E5" s="20" t="str">
        <x:v>Higher</x:v>
      </x:c>
      <x:c r="F5" s="20" t="str">
        <x:v>Edit Raw Importance; it does not need to total 100.</x:v>
      </x:c>
    </x:row>
    <x:row r="6" ht="15" hidden="0" customHeight="1">
      <x:c r="A6" s="20" t="str">
        <x:v>Neighborhood safety</x:v>
      </x:c>
      <x:c r="B6" s="20" t="str">
        <x:v>Yes</x:v>
      </x:c>
      <x:c r="C6" s="20" t="n">
        <x:v>10</x:v>
      </x:c>
      <x:c r="D6" s="36" t="n">
        <x:f>IF(B6="Yes",C6/SUMIF($B$2:$B$11,"Yes",$C$2:$C$11),0)</x:f>
        <x:v>0.1</x:v>
      </x:c>
      <x:c r="E6" s="20" t="str">
        <x:v>Higher</x:v>
      </x:c>
      <x:c r="F6" s="20" t="str">
        <x:v>Edit Raw Importance; it does not need to total 100.</x:v>
      </x:c>
    </x:row>
    <x:row r="7" ht="15" hidden="0" customHeight="1">
      <x:c r="A7" s="20" t="str">
        <x:v>Commute time</x:v>
      </x:c>
      <x:c r="B7" s="20" t="str">
        <x:v>Yes</x:v>
      </x:c>
      <x:c r="C7" s="20" t="n">
        <x:v>10</x:v>
      </x:c>
      <x:c r="D7" s="36" t="n">
        <x:f>IF(B7="Yes",C7/SUMIF($B$2:$B$11,"Yes",$C$2:$C$11),0)</x:f>
        <x:v>0.1</x:v>
      </x:c>
      <x:c r="E7" s="20" t="str">
        <x:v>Lower</x:v>
      </x:c>
      <x:c r="F7" s="20" t="str">
        <x:v>Edit Raw Importance; it does not need to total 100.</x:v>
      </x:c>
    </x:row>
    <x:row r="8" ht="15" hidden="0" customHeight="1">
      <x:c r="A8" s="20" t="str">
        <x:v>Home size</x:v>
      </x:c>
      <x:c r="B8" s="20" t="str">
        <x:v>Yes</x:v>
      </x:c>
      <x:c r="C8" s="20" t="n">
        <x:v>10</x:v>
      </x:c>
      <x:c r="D8" s="36" t="n">
        <x:f>IF(B8="Yes",C8/SUMIF($B$2:$B$11,"Yes",$C$2:$C$11),0)</x:f>
        <x:v>0.1</x:v>
      </x:c>
      <x:c r="E8" s="20" t="str">
        <x:v>Higher</x:v>
      </x:c>
      <x:c r="F8" s="20" t="str">
        <x:v>Edit Raw Importance; it does not need to total 100.</x:v>
      </x:c>
    </x:row>
    <x:row r="9" ht="15" hidden="0" customHeight="1">
      <x:c r="A9" s="20" t="str">
        <x:v>Home condition</x:v>
      </x:c>
      <x:c r="B9" s="20" t="str">
        <x:v>Yes</x:v>
      </x:c>
      <x:c r="C9" s="20" t="n">
        <x:v>10</x:v>
      </x:c>
      <x:c r="D9" s="36" t="n">
        <x:f>IF(B9="Yes",C9/SUMIF($B$2:$B$11,"Yes",$C$2:$C$11),0)</x:f>
        <x:v>0.1</x:v>
      </x:c>
      <x:c r="E9" s="20" t="str">
        <x:v>Higher</x:v>
      </x:c>
      <x:c r="F9" s="20" t="str">
        <x:v>Edit Raw Importance; it does not need to total 100.</x:v>
      </x:c>
    </x:row>
    <x:row r="10" ht="15" hidden="0" customHeight="1">
      <x:c r="A10" s="20" t="str">
        <x:v>Local amenities</x:v>
      </x:c>
      <x:c r="B10" s="20" t="str">
        <x:v>Yes</x:v>
      </x:c>
      <x:c r="C10" s="20" t="n">
        <x:v>10</x:v>
      </x:c>
      <x:c r="D10" s="36" t="n">
        <x:f>IF(B10="Yes",C10/SUMIF($B$2:$B$11,"Yes",$C$2:$C$11),0)</x:f>
        <x:v>0.1</x:v>
      </x:c>
      <x:c r="E10" s="20" t="str">
        <x:v>Higher</x:v>
      </x:c>
      <x:c r="F10" s="20" t="str">
        <x:v>Edit Raw Importance; it does not need to total 100.</x:v>
      </x:c>
    </x:row>
    <x:row r="11" ht="15" hidden="0" customHeight="1">
      <x:c r="A11" s="20" t="str">
        <x:v>Estimated annual appreciation</x:v>
      </x:c>
      <x:c r="B11" s="20" t="str">
        <x:v>Yes</x:v>
      </x:c>
      <x:c r="C11" s="20" t="n">
        <x:v>10</x:v>
      </x:c>
      <x:c r="D11" s="36" t="n">
        <x:f>IF(B11="Yes",C11/SUMIF($B$2:$B$11,"Yes",$C$2:$C$11),0)</x:f>
        <x:v>0.1</x:v>
      </x:c>
      <x:c r="E11" s="20" t="str">
        <x:v>Higher</x:v>
      </x:c>
      <x:c r="F11" s="20" t="str">
        <x:v>Edit Raw Importance; it does not need to total 100.</x:v>
      </x:c>
    </x:row>
    <x:row r="12" ht="15" hidden="0" customHeight="1">
      <x:c r="A12" s="20"/>
      <x:c r="B12" s="20"/>
      <x:c r="C12" s="20"/>
      <x:c r="D12" s="36"/>
      <x:c r="E12" s="20"/>
      <x:c r="F12" s="20"/>
    </x:row>
    <x:row r="13" ht="15" hidden="0" customHeight="1">
      <x:c r="A13" s="27" t="str">
        <x:v>Check</x:v>
      </x:c>
      <x:c r="B13" s="27" t="str"/>
      <x:c r="C13" s="27" t="str"/>
      <x:c r="D13" s="37" t="str"/>
      <x:c r="E13" s="20"/>
      <x:c r="F13" s="20"/>
    </x:row>
    <x:row r="14" ht="15" hidden="0" customHeight="1">
      <x:c r="A14" s="20" t="str">
        <x:v>Normalized selected weights</x:v>
      </x:c>
      <x:c r="B14" s="20" t="str"/>
      <x:c r="C14" s="20" t="str"/>
      <x:c r="D14" s="36" t="n">
        <x:f>SUM(D2:D11)</x:f>
        <x:v>0.9999999999999999</x:v>
      </x:c>
      <x:c r="E14" s="20"/>
      <x:c r="F14" s="20"/>
    </x:row>
  </x:sheetData>
  <x:dataValidations count="1">
    <x:dataValidation type="list" sqref="B2:B11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9.25" hidden="0" customWidth="1"/>
    <x:col min="13" max="13" width="6.880000114440918" hidden="0" customWidth="1"/>
  </x:cols>
  <x:sheetData>
    <x:row r="1" ht="15" hidden="0" customHeight="1">
      <x:c r="A1" s="14" t="str">
        <x:v>Home Name</x:v>
      </x:c>
      <x:c r="B1" s="14" t="str">
        <x:v>Purchase price</x:v>
      </x:c>
      <x:c r="C1" s="14" t="str">
        <x:v>Estimated monthly payment</x:v>
      </x:c>
      <x:c r="D1" s="14" t="str">
        <x:v>Annual property tax</x:v>
      </x:c>
      <x:c r="E1" s="14" t="str">
        <x:v>School quality</x:v>
      </x:c>
      <x:c r="F1" s="14" t="str">
        <x:v>Neighborhood safety</x:v>
      </x:c>
      <x:c r="G1" s="14" t="str">
        <x:v>Commute time</x:v>
      </x:c>
      <x:c r="H1" s="14" t="str">
        <x:v>Home size</x:v>
      </x:c>
      <x:c r="I1" s="14" t="str">
        <x:v>Home condition</x:v>
      </x:c>
      <x:c r="J1" s="14" t="str">
        <x:v>Local amenities</x:v>
      </x:c>
      <x:c r="K1" s="14" t="str">
        <x:v>Estimated annual appreciation</x:v>
      </x:c>
      <x:c r="L1" s="14" t="str">
        <x:v>HomeScore</x:v>
      </x:c>
      <x:c r="M1" s="14" t="str">
        <x:v>Rank</x:v>
      </x:c>
    </x:row>
    <x:row r="2" ht="15" hidden="0" customHeight="1">
      <x:c r="A2" t="str">
        <x:f>Homes!A2</x:f>
        <x:v>Maple Grove</x:v>
      </x:c>
      <x:c r="B2" s="40" t="n">
        <x:f>IF(MAX(Homes!$B$2:$B$6)=MIN(Homes!$B$2:$B$6),0.5,(MAX(Homes!$B$2:$B$6)-Homes!B2)/(MAX(Homes!$B$2:$B$6)-MIN(Homes!$B$2:$B$6)))</x:f>
        <x:v>0.3333333333333333</x:v>
      </x:c>
      <x:c r="C2" s="40" t="n">
        <x:f>IF(MAX(Homes!$C$2:$C$6)=MIN(Homes!$C$2:$C$6),0.5,(MAX(Homes!$C$2:$C$6)-Homes!C2)/(MAX(Homes!$C$2:$C$6)-MIN(Homes!$C$2:$C$6)))</x:f>
        <x:v>0.3368421052631579</x:v>
      </x:c>
      <x:c r="D2" s="40" t="n">
        <x:f>IF(MAX(Homes!$D$2:$D$6)=MIN(Homes!$D$2:$D$6),0.5,(MAX(Homes!$D$2:$D$6)-Homes!D2)/(MAX(Homes!$D$2:$D$6)-MIN(Homes!$D$2:$D$6)))</x:f>
        <x:v>0.2692307692307692</x:v>
      </x:c>
      <x:c r="E2" s="40" t="n">
        <x:f>IF(MAX(Homes!$E$2:$E$6)=MIN(Homes!$E$2:$E$6),0.5,(Homes!E2-MIN(Homes!$E$2:$E$6))/(MAX(Homes!$E$2:$E$6)-MIN(Homes!$E$2:$E$6)))</x:f>
        <x:v>0.6190476190476188</x:v>
      </x:c>
      <x:c r="F2" s="40" t="n">
        <x:f>IF(MAX(Homes!$F$2:$F$6)=MIN(Homes!$F$2:$F$6),0.5,(Homes!F2-MIN(Homes!$F$2:$F$6))/(MAX(Homes!$F$2:$F$6)-MIN(Homes!$F$2:$F$6)))</x:f>
        <x:v>0.5833333333333334</x:v>
      </x:c>
      <x:c r="G2" s="40" t="n">
        <x:f>IF(MAX(Homes!$G$2:$G$6)=MIN(Homes!$G$2:$G$6),0.5,(MAX(Homes!$G$2:$G$6)-Homes!G2)/(MAX(Homes!$G$2:$G$6)-MIN(Homes!$G$2:$G$6)))</x:f>
        <x:v>0.30434782608695654</x:v>
      </x:c>
      <x:c r="H2" s="40" t="n">
        <x:f>IF(MAX(Homes!$H$2:$H$6)=MIN(Homes!$H$2:$H$6),0.5,(Homes!H2-MIN(Homes!$H$2:$H$6))/(MAX(Homes!$H$2:$H$6)-MIN(Homes!$H$2:$H$6)))</x:f>
        <x:v>0.5714285714285714</x:v>
      </x:c>
      <x:c r="I2" s="40" t="n">
        <x:f>IF(MAX(Homes!$I$2:$I$6)=MIN(Homes!$I$2:$I$6),0.5,(Homes!I2-MIN(Homes!$I$2:$I$6))/(MAX(Homes!$I$2:$I$6)-MIN(Homes!$I$2:$I$6)))</x:f>
        <x:v>0.6875</x:v>
      </x:c>
      <x:c r="J2" s="40" t="n">
        <x:f>IF(MAX(Homes!$J$2:$J$6)=MIN(Homes!$J$2:$J$6),0.5,(Homes!J2-MIN(Homes!$J$2:$J$6))/(MAX(Homes!$J$2:$J$6)-MIN(Homes!$J$2:$J$6)))</x:f>
        <x:v>0.2916666666666668</x:v>
      </x:c>
      <x:c r="K2" s="40" t="n">
        <x:f>IF(MAX(Homes!$K$2:$K$6)=MIN(Homes!$K$2:$K$6),0.5,(Homes!K2-MIN(Homes!$K$2:$K$6))/(MAX(Homes!$K$2:$K$6)-MIN(Homes!$K$2:$K$6)))</x:f>
        <x:v>0.5624999999999999</x:v>
      </x:c>
      <x:c r="L2" s="42" t="n">
        <x:f>(B2*'Buyer Preferences'!$D$2+C2*'Buyer Preferences'!$D$3+D2*'Buyer Preferences'!$D$4+E2*'Buyer Preferences'!$D$5+F2*'Buyer Preferences'!$D$6+G2*'Buyer Preferences'!$D$7+H2*'Buyer Preferences'!$D$8+I2*'Buyer Preferences'!$D$9+J2*'Buyer Preferences'!$D$10+K2*'Buyer Preferences'!$D$11)*100</x:f>
        <x:v>45.59230224390408</x:v>
      </x:c>
      <x:c r="M2" t="n">
        <x:f>RANK(L2,$L$2:$L$6,0)</x:f>
        <x:v>4</x:v>
      </x:c>
    </x:row>
    <x:row r="3" ht="15" hidden="0" customHeight="1">
      <x:c r="A3" t="str">
        <x:f>Homes!A3</x:f>
        <x:v>Riverside Townhome</x:v>
      </x:c>
      <x:c r="B3" s="40" t="n">
        <x:f>IF(MAX(Homes!$B$2:$B$6)=MIN(Homes!$B$2:$B$6),0.5,(MAX(Homes!$B$2:$B$6)-Homes!B3)/(MAX(Homes!$B$2:$B$6)-MIN(Homes!$B$2:$B$6)))</x:f>
        <x:v>0.6666666666666666</x:v>
      </x:c>
      <x:c r="C3" s="40" t="n">
        <x:f>IF(MAX(Homes!$C$2:$C$6)=MIN(Homes!$C$2:$C$6),0.5,(MAX(Homes!$C$2:$C$6)-Homes!C3)/(MAX(Homes!$C$2:$C$6)-MIN(Homes!$C$2:$C$6)))</x:f>
        <x:v>0.7</x:v>
      </x:c>
      <x:c r="D3" s="40" t="n">
        <x:f>IF(MAX(Homes!$D$2:$D$6)=MIN(Homes!$D$2:$D$6),0.5,(MAX(Homes!$D$2:$D$6)-Homes!D3)/(MAX(Homes!$D$2:$D$6)-MIN(Homes!$D$2:$D$6)))</x:f>
        <x:v>0.5769230769230769</x:v>
      </x:c>
      <x:c r="E3" s="40" t="n">
        <x:f>IF(MAX(Homes!$E$2:$E$6)=MIN(Homes!$E$2:$E$6),0.5,(Homes!E3-MIN(Homes!$E$2:$E$6))/(MAX(Homes!$E$2:$E$6)-MIN(Homes!$E$2:$E$6)))</x:f>
        <x:v>0.2857142857142855</x:v>
      </x:c>
      <x:c r="F3" s="40" t="n">
        <x:f>IF(MAX(Homes!$F$2:$F$6)=MIN(Homes!$F$2:$F$6),0.5,(Homes!F3-MIN(Homes!$F$2:$F$6))/(MAX(Homes!$F$2:$F$6)-MIN(Homes!$F$2:$F$6)))</x:f>
        <x:v>0.16666666666666666</x:v>
      </x:c>
      <x:c r="G3" s="40" t="n">
        <x:f>IF(MAX(Homes!$G$2:$G$6)=MIN(Homes!$G$2:$G$6),0.5,(MAX(Homes!$G$2:$G$6)-Homes!G3)/(MAX(Homes!$G$2:$G$6)-MIN(Homes!$G$2:$G$6)))</x:f>
        <x:v>0.6956521739130435</x:v>
      </x:c>
      <x:c r="H3" s="40" t="n">
        <x:f>IF(MAX(Homes!$H$2:$H$6)=MIN(Homes!$H$2:$H$6),0.5,(Homes!H3-MIN(Homes!$H$2:$H$6))/(MAX(Homes!$H$2:$H$6)-MIN(Homes!$H$2:$H$6)))</x:f>
        <x:v>0.3333333333333333</x:v>
      </x:c>
      <x:c r="I3" s="40" t="n">
        <x:f>IF(MAX(Homes!$I$2:$I$6)=MIN(Homes!$I$2:$I$6),0.5,(Homes!I3-MIN(Homes!$I$2:$I$6))/(MAX(Homes!$I$2:$I$6)-MIN(Homes!$I$2:$I$6)))</x:f>
        <x:v>1</x:v>
      </x:c>
      <x:c r="J3" s="40" t="n">
        <x:f>IF(MAX(Homes!$J$2:$J$6)=MIN(Homes!$J$2:$J$6),0.5,(Homes!J3-MIN(Homes!$J$2:$J$6))/(MAX(Homes!$J$2:$J$6)-MIN(Homes!$J$2:$J$6)))</x:f>
        <x:v>0.7916666666666666</x:v>
      </x:c>
      <x:c r="K3" s="40" t="n">
        <x:f>IF(MAX(Homes!$K$2:$K$6)=MIN(Homes!$K$2:$K$6),0.5,(Homes!K3-MIN(Homes!$K$2:$K$6))/(MAX(Homes!$K$2:$K$6)-MIN(Homes!$K$2:$K$6)))</x:f>
        <x:v>0.3125</x:v>
      </x:c>
      <x:c r="L3" s="42" t="n">
        <x:f>(B3*'Buyer Preferences'!$D$2+C3*'Buyer Preferences'!$D$3+D3*'Buyer Preferences'!$D$4+E3*'Buyer Preferences'!$D$5+F3*'Buyer Preferences'!$D$6+G3*'Buyer Preferences'!$D$7+H3*'Buyer Preferences'!$D$8+I3*'Buyer Preferences'!$D$9+J3*'Buyer Preferences'!$D$10+K3*'Buyer Preferences'!$D$11)*100</x:f>
        <x:v>55.29122869883738</x:v>
      </x:c>
      <x:c r="M3" t="n">
        <x:f>RANK(L3,$L$2:$L$6,0)</x:f>
        <x:v>2</x:v>
      </x:c>
    </x:row>
    <x:row r="4" ht="15" hidden="0" customHeight="1">
      <x:c r="A4" t="str">
        <x:f>Homes!A4</x:f>
        <x:v>Oakview Condo</x:v>
      </x:c>
      <x:c r="B4" s="40" t="n">
        <x:f>IF(MAX(Homes!$B$2:$B$6)=MIN(Homes!$B$2:$B$6),0.5,(MAX(Homes!$B$2:$B$6)-Homes!B4)/(MAX(Homes!$B$2:$B$6)-MIN(Homes!$B$2:$B$6)))</x:f>
        <x:v>1</x:v>
      </x:c>
      <x:c r="C4" s="40" t="n">
        <x:f>IF(MAX(Homes!$C$2:$C$6)=MIN(Homes!$C$2:$C$6),0.5,(MAX(Homes!$C$2:$C$6)-Homes!C4)/(MAX(Homes!$C$2:$C$6)-MIN(Homes!$C$2:$C$6)))</x:f>
        <x:v>1</x:v>
      </x:c>
      <x:c r="D4" s="40" t="n">
        <x:f>IF(MAX(Homes!$D$2:$D$6)=MIN(Homes!$D$2:$D$6),0.5,(MAX(Homes!$D$2:$D$6)-Homes!D4)/(MAX(Homes!$D$2:$D$6)-MIN(Homes!$D$2:$D$6)))</x:f>
        <x:v>1</x:v>
      </x:c>
      <x:c r="E4" s="40" t="n">
        <x:f>IF(MAX(Homes!$E$2:$E$6)=MIN(Homes!$E$2:$E$6),0.5,(Homes!E4-MIN(Homes!$E$2:$E$6))/(MAX(Homes!$E$2:$E$6)-MIN(Homes!$E$2:$E$6)))</x:f>
        <x:v>0</x:v>
      </x:c>
      <x:c r="F4" s="40" t="n">
        <x:f>IF(MAX(Homes!$F$2:$F$6)=MIN(Homes!$F$2:$F$6),0.5,(Homes!F4-MIN(Homes!$F$2:$F$6))/(MAX(Homes!$F$2:$F$6)-MIN(Homes!$F$2:$F$6)))</x:f>
        <x:v>0.75</x:v>
      </x:c>
      <x:c r="G4" s="40" t="n">
        <x:f>IF(MAX(Homes!$G$2:$G$6)=MIN(Homes!$G$2:$G$6),0.5,(MAX(Homes!$G$2:$G$6)-Homes!G4)/(MAX(Homes!$G$2:$G$6)-MIN(Homes!$G$2:$G$6)))</x:f>
        <x:v>1</x:v>
      </x:c>
      <x:c r="H4" s="40" t="n">
        <x:f>IF(MAX(Homes!$H$2:$H$6)=MIN(Homes!$H$2:$H$6),0.5,(Homes!H4-MIN(Homes!$H$2:$H$6))/(MAX(Homes!$H$2:$H$6)-MIN(Homes!$H$2:$H$6)))</x:f>
        <x:v>0</x:v>
      </x:c>
      <x:c r="I4" s="40" t="n">
        <x:f>IF(MAX(Homes!$I$2:$I$6)=MIN(Homes!$I$2:$I$6),0.5,(Homes!I4-MIN(Homes!$I$2:$I$6))/(MAX(Homes!$I$2:$I$6)-MIN(Homes!$I$2:$I$6)))</x:f>
        <x:v>0.84375</x:v>
      </x:c>
      <x:c r="J4" s="40" t="n">
        <x:f>IF(MAX(Homes!$J$2:$J$6)=MIN(Homes!$J$2:$J$6),0.5,(Homes!J4-MIN(Homes!$J$2:$J$6))/(MAX(Homes!$J$2:$J$6)-MIN(Homes!$J$2:$J$6)))</x:f>
        <x:v>1</x:v>
      </x:c>
      <x:c r="K4" s="40" t="n">
        <x:f>IF(MAX(Homes!$K$2:$K$6)=MIN(Homes!$K$2:$K$6),0.5,(Homes!K4-MIN(Homes!$K$2:$K$6))/(MAX(Homes!$K$2:$K$6)-MIN(Homes!$K$2:$K$6)))</x:f>
        <x:v>0</x:v>
      </x:c>
      <x:c r="L4" s="42" t="n">
        <x:f>(B4*'Buyer Preferences'!$D$2+C4*'Buyer Preferences'!$D$3+D4*'Buyer Preferences'!$D$4+E4*'Buyer Preferences'!$D$5+F4*'Buyer Preferences'!$D$6+G4*'Buyer Preferences'!$D$7+H4*'Buyer Preferences'!$D$8+I4*'Buyer Preferences'!$D$9+J4*'Buyer Preferences'!$D$10+K4*'Buyer Preferences'!$D$11)*100</x:f>
        <x:v>65.9375</x:v>
      </x:c>
      <x:c r="M4" t="n">
        <x:f>RANK(L4,$L$2:$L$6,0)</x:f>
        <x:v>1</x:v>
      </x:c>
    </x:row>
    <x:row r="5" ht="15" hidden="0" customHeight="1">
      <x:c r="A5" t="str">
        <x:f>Homes!A5</x:f>
        <x:v>Pinecrest House</x:v>
      </x:c>
      <x:c r="B5" s="40" t="n">
        <x:f>IF(MAX(Homes!$B$2:$B$6)=MIN(Homes!$B$2:$B$6),0.5,(MAX(Homes!$B$2:$B$6)-Homes!B5)/(MAX(Homes!$B$2:$B$6)-MIN(Homes!$B$2:$B$6)))</x:f>
        <x:v>0</x:v>
      </x:c>
      <x:c r="C5" s="40" t="n">
        <x:f>IF(MAX(Homes!$C$2:$C$6)=MIN(Homes!$C$2:$C$6),0.5,(MAX(Homes!$C$2:$C$6)-Homes!C5)/(MAX(Homes!$C$2:$C$6)-MIN(Homes!$C$2:$C$6)))</x:f>
        <x:v>0</x:v>
      </x:c>
      <x:c r="D5" s="40" t="n">
        <x:f>IF(MAX(Homes!$D$2:$D$6)=MIN(Homes!$D$2:$D$6),0.5,(MAX(Homes!$D$2:$D$6)-Homes!D5)/(MAX(Homes!$D$2:$D$6)-MIN(Homes!$D$2:$D$6)))</x:f>
        <x:v>0</x:v>
      </x:c>
      <x:c r="E5" s="40" t="n">
        <x:f>IF(MAX(Homes!$E$2:$E$6)=MIN(Homes!$E$2:$E$6),0.5,(Homes!E5-MIN(Homes!$E$2:$E$6))/(MAX(Homes!$E$2:$E$6)-MIN(Homes!$E$2:$E$6)))</x:f>
        <x:v>1</x:v>
      </x:c>
      <x:c r="F5" s="40" t="n">
        <x:f>IF(MAX(Homes!$F$2:$F$6)=MIN(Homes!$F$2:$F$6),0.5,(Homes!F5-MIN(Homes!$F$2:$F$6))/(MAX(Homes!$F$2:$F$6)-MIN(Homes!$F$2:$F$6)))</x:f>
        <x:v>1</x:v>
      </x:c>
      <x:c r="G5" s="40" t="n">
        <x:f>IF(MAX(Homes!$G$2:$G$6)=MIN(Homes!$G$2:$G$6),0.5,(MAX(Homes!$G$2:$G$6)-Homes!G5)/(MAX(Homes!$G$2:$G$6)-MIN(Homes!$G$2:$G$6)))</x:f>
        <x:v>0</x:v>
      </x:c>
      <x:c r="H5" s="40" t="n">
        <x:f>IF(MAX(Homes!$H$2:$H$6)=MIN(Homes!$H$2:$H$6),0.5,(Homes!H5-MIN(Homes!$H$2:$H$6))/(MAX(Homes!$H$2:$H$6)-MIN(Homes!$H$2:$H$6)))</x:f>
        <x:v>1</x:v>
      </x:c>
      <x:c r="I5" s="40" t="n">
        <x:f>IF(MAX(Homes!$I$2:$I$6)=MIN(Homes!$I$2:$I$6),0.5,(Homes!I5-MIN(Homes!$I$2:$I$6))/(MAX(Homes!$I$2:$I$6)-MIN(Homes!$I$2:$I$6)))</x:f>
        <x:v>0.4375000000000001</x:v>
      </x:c>
      <x:c r="J5" s="40" t="n">
        <x:f>IF(MAX(Homes!$J$2:$J$6)=MIN(Homes!$J$2:$J$6),0.5,(Homes!J5-MIN(Homes!$J$2:$J$6))/(MAX(Homes!$J$2:$J$6)-MIN(Homes!$J$2:$J$6)))</x:f>
        <x:v>0</x:v>
      </x:c>
      <x:c r="K5" s="40" t="n">
        <x:f>IF(MAX(Homes!$K$2:$K$6)=MIN(Homes!$K$2:$K$6),0.5,(Homes!K5-MIN(Homes!$K$2:$K$6))/(MAX(Homes!$K$2:$K$6)-MIN(Homes!$K$2:$K$6)))</x:f>
        <x:v>0.7499999999999998</x:v>
      </x:c>
      <x:c r="L5" s="42" t="n">
        <x:f>(B5*'Buyer Preferences'!$D$2+C5*'Buyer Preferences'!$D$3+D5*'Buyer Preferences'!$D$4+E5*'Buyer Preferences'!$D$5+F5*'Buyer Preferences'!$D$6+G5*'Buyer Preferences'!$D$7+H5*'Buyer Preferences'!$D$8+I5*'Buyer Preferences'!$D$9+J5*'Buyer Preferences'!$D$10+K5*'Buyer Preferences'!$D$11)*100</x:f>
        <x:v>41.87500000000001</x:v>
      </x:c>
      <x:c r="M5" t="n">
        <x:f>RANK(L5,$L$2:$L$6,0)</x:f>
        <x:v>5</x:v>
      </x:c>
    </x:row>
    <x:row r="6" ht="15" hidden="0" customHeight="1">
      <x:c r="A6" t="str">
        <x:f>Homes!A6</x:f>
        <x:v>Lakeside Fixer</x:v>
      </x:c>
      <x:c r="B6" s="40" t="n">
        <x:f>IF(MAX(Homes!$B$2:$B$6)=MIN(Homes!$B$2:$B$6),0.5,(MAX(Homes!$B$2:$B$6)-Homes!B6)/(MAX(Homes!$B$2:$B$6)-MIN(Homes!$B$2:$B$6)))</x:f>
        <x:v>0.7878787878787878</x:v>
      </x:c>
      <x:c r="C6" s="40" t="n">
        <x:f>IF(MAX(Homes!$C$2:$C$6)=MIN(Homes!$C$2:$C$6),0.5,(MAX(Homes!$C$2:$C$6)-Homes!C6)/(MAX(Homes!$C$2:$C$6)-MIN(Homes!$C$2:$C$6)))</x:f>
        <x:v>0.8210526315789474</x:v>
      </x:c>
      <x:c r="D6" s="40" t="n">
        <x:f>IF(MAX(Homes!$D$2:$D$6)=MIN(Homes!$D$2:$D$6),0.5,(MAX(Homes!$D$2:$D$6)-Homes!D6)/(MAX(Homes!$D$2:$D$6)-MIN(Homes!$D$2:$D$6)))</x:f>
        <x:v>0.8076923076923077</x:v>
      </x:c>
      <x:c r="E6" s="40" t="n">
        <x:f>IF(MAX(Homes!$E$2:$E$6)=MIN(Homes!$E$2:$E$6),0.5,(Homes!E6-MIN(Homes!$E$2:$E$6))/(MAX(Homes!$E$2:$E$6)-MIN(Homes!$E$2:$E$6)))</x:f>
        <x:v>0.38095238095238076</x:v>
      </x:c>
      <x:c r="F6" s="40" t="n">
        <x:f>IF(MAX(Homes!$F$2:$F$6)=MIN(Homes!$F$2:$F$6),0.5,(Homes!F6-MIN(Homes!$F$2:$F$6))/(MAX(Homes!$F$2:$F$6)-MIN(Homes!$F$2:$F$6)))</x:f>
        <x:v>0</x:v>
      </x:c>
      <x:c r="G6" s="40" t="n">
        <x:f>IF(MAX(Homes!$G$2:$G$6)=MIN(Homes!$G$2:$G$6),0.5,(MAX(Homes!$G$2:$G$6)-Homes!G6)/(MAX(Homes!$G$2:$G$6)-MIN(Homes!$G$2:$G$6)))</x:f>
        <x:v>0.43478260869565216</x:v>
      </x:c>
      <x:c r="H6" s="40" t="n">
        <x:f>IF(MAX(Homes!$H$2:$H$6)=MIN(Homes!$H$2:$H$6),0.5,(Homes!H6-MIN(Homes!$H$2:$H$6))/(MAX(Homes!$H$2:$H$6)-MIN(Homes!$H$2:$H$6)))</x:f>
        <x:v>0.6666666666666666</x:v>
      </x:c>
      <x:c r="I6" s="40" t="n">
        <x:f>IF(MAX(Homes!$I$2:$I$6)=MIN(Homes!$I$2:$I$6),0.5,(Homes!I6-MIN(Homes!$I$2:$I$6))/(MAX(Homes!$I$2:$I$6)-MIN(Homes!$I$2:$I$6)))</x:f>
        <x:v>0</x:v>
      </x:c>
      <x:c r="J6" s="40" t="n">
        <x:f>IF(MAX(Homes!$J$2:$J$6)=MIN(Homes!$J$2:$J$6),0.5,(Homes!J6-MIN(Homes!$J$2:$J$6))/(MAX(Homes!$J$2:$J$6)-MIN(Homes!$J$2:$J$6)))</x:f>
        <x:v>0.08333333333333343</x:v>
      </x:c>
      <x:c r="K6" s="40" t="n">
        <x:f>IF(MAX(Homes!$K$2:$K$6)=MIN(Homes!$K$2:$K$6),0.5,(Homes!K6-MIN(Homes!$K$2:$K$6))/(MAX(Homes!$K$2:$K$6)-MIN(Homes!$K$2:$K$6)))</x:f>
        <x:v>1</x:v>
      </x:c>
      <x:c r="L6" s="42" t="n">
        <x:f>(B6*'Buyer Preferences'!$D$2+C6*'Buyer Preferences'!$D$3+D6*'Buyer Preferences'!$D$4+E6*'Buyer Preferences'!$D$5+F6*'Buyer Preferences'!$D$6+G6*'Buyer Preferences'!$D$7+H6*'Buyer Preferences'!$D$8+I6*'Buyer Preferences'!$D$9+J6*'Buyer Preferences'!$D$10+K6*'Buyer Preferences'!$D$11)*100</x:f>
        <x:v>49.82358716798076</x:v>
      </x:c>
      <x:c r="M6" t="n">
        <x:f>RANK(L6,$L$2:$L$6,0)</x:f>
        <x:v>3</x:v>
      </x:c>
    </x:row>
  </x:sheetData>
  <x:conditionalFormatting sqref="L2:L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{147C4D56-F1B9-B537-C9DB-F98B26E8045E}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47C4D56-F1B9-B537-C9DB-F98B26E8045E}">
            <x14:dataBar gradient="1">
              <x14:cfvo type="min"/>
              <x14:cfvo type="max"/>
              <x14:fillColor rgb="FFA02B93"/>
            </x14:dataBar>
          </x14:cfRule>
          <xm:sqref>L2:L6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22" hidden="0" customWidth="1"/>
    <x:col min="5" max="5" width="18" hidden="0" customWidth="1"/>
    <x:col min="6" max="6" width="52" hidden="0" customWidth="1"/>
  </x:cols>
  <x:sheetData>
    <x:row r="1">
      <x:c r="A1" s="64" t="str">
        <x:v>HomeScore Model 2 — Buyer Profile &amp; Affordability Inputs</x:v>
      </x:c>
      <x:c r="B1" s="64"/>
      <x:c r="C1" s="64"/>
      <x:c r="D1" s="64"/>
      <x:c r="E1" s="64"/>
      <x:c r="F1" s="64"/>
    </x:row>
    <x:row r="3">
      <x:c r="A3" s="51" t="str">
        <x:v>Input</x:v>
      </x:c>
      <x:c r="B3" s="51" t="str">
        <x:v>Value</x:v>
      </x:c>
      <x:c r="C3" s="51" t="str">
        <x:v>Unit / Scale</x:v>
      </x:c>
      <x:c r="D3" s="51" t="str">
        <x:v>Role</x:v>
      </x:c>
      <x:c r="E3" s="51" t="str">
        <x:v>Visibility</x:v>
      </x:c>
      <x:c r="F3" s="51" t="str">
        <x:v>Notes</x:v>
      </x:c>
    </x:row>
    <x:row r="4">
      <x:c r="A4" t="str">
        <x:v>Overall Affordability Importance</x:v>
      </x:c>
      <x:c r="B4" s="52" t="n">
        <x:v>5</x:v>
      </x:c>
      <x:c r="C4" t="str">
        <x:v>0–5</x:v>
      </x:c>
      <x:c r="D4" t="str">
        <x:v>Dimension importance</x:v>
      </x:c>
      <x:c r="E4" t="str">
        <x:v>Standard</x:v>
      </x:c>
      <x:c r="F4" t="str">
        <x:v>0 means affordability is excluded from HomeScore.</x:v>
      </x:c>
    </x:row>
    <x:row r="5">
      <x:c r="A5" t="str">
        <x:v>Purchase Price Importance</x:v>
      </x:c>
      <x:c r="B5" s="52" t="n">
        <x:v>3</x:v>
      </x:c>
      <x:c r="C5" t="str">
        <x:v>0–5</x:v>
      </x:c>
      <x:c r="D5" t="str">
        <x:v>Within affordability</x:v>
      </x:c>
      <x:c r="E5" t="str">
        <x:v>Standard</x:v>
      </x:c>
      <x:c r="F5" t="str">
        <x:v>Normalized automatically against Monthly Housing Cost Importance.</x:v>
      </x:c>
    </x:row>
    <x:row r="6">
      <x:c r="A6" t="str">
        <x:v>Monthly Housing Cost Importance</x:v>
      </x:c>
      <x:c r="B6" s="52" t="n">
        <x:v>5</x:v>
      </x:c>
      <x:c r="C6" t="str">
        <x:v>0–5</x:v>
      </x:c>
      <x:c r="D6" t="str">
        <x:v>Within affordability</x:v>
      </x:c>
      <x:c r="E6" t="str">
        <x:v>Standard</x:v>
      </x:c>
      <x:c r="F6" t="str">
        <x:v>Normalized automatically against Purchase Price Importance.</x:v>
      </x:c>
    </x:row>
    <x:row r="7">
      <x:c r="A7" t="str">
        <x:v>Target Purchase Price</x:v>
      </x:c>
      <x:c r="B7" s="53" t="n">
        <x:v>450000</x:v>
      </x:c>
      <x:c r="C7" t="str">
        <x:v>USD</x:v>
      </x:c>
      <x:c r="D7" t="str">
        <x:v>Buyer preference</x:v>
      </x:c>
      <x:c r="E7" t="str">
        <x:v>Standard</x:v>
      </x:c>
      <x:c r="F7" t="str">
        <x:v>At or below target receives Price Fit = 100.</x:v>
      </x:c>
    </x:row>
    <x:row r="8">
      <x:c r="A8" t="str">
        <x:v>Maximum Purchase Price</x:v>
      </x:c>
      <x:c r="B8" s="53" t="n">
        <x:v>600000</x:v>
      </x:c>
      <x:c r="C8" t="str">
        <x:v>USD</x:v>
      </x:c>
      <x:c r="D8" t="str">
        <x:v>Buyer limit</x:v>
      </x:c>
      <x:c r="E8" t="str">
        <x:v>Standard</x:v>
      </x:c>
      <x:c r="F8" t="str">
        <x:v>At or above maximum receives Price Fit = 0 and a warning.</x:v>
      </x:c>
    </x:row>
    <x:row r="9">
      <x:c r="A9" t="str">
        <x:v>Down Payment</x:v>
      </x:c>
      <x:c r="B9" s="53" t="n">
        <x:v>100000</x:v>
      </x:c>
      <x:c r="C9" t="str">
        <x:v>USD</x:v>
      </x:c>
      <x:c r="D9" t="str">
        <x:v>Financing input</x:v>
      </x:c>
      <x:c r="E9" t="str">
        <x:v>Standard</x:v>
      </x:c>
      <x:c r="F9" t="str">
        <x:v>Used to calculate loan amount; not scored independently.</x:v>
      </x:c>
    </x:row>
    <x:row r="10">
      <x:c r="A10" t="str">
        <x:v>Interest Rate</x:v>
      </x:c>
      <x:c r="B10" s="68" t="n">
        <x:v>0.0625</x:v>
      </x:c>
      <x:c r="C10" t="str">
        <x:v>% annual</x:v>
      </x:c>
      <x:c r="D10" t="str">
        <x:v>Calculation assumption</x:v>
      </x:c>
      <x:c r="E10" s="70" t="str">
        <x:v>Advanced default</x:v>
      </x:c>
      <x:c r="F10" t="str">
        <x:v>Scenario assumption used for mortgage calculation.</x:v>
      </x:c>
    </x:row>
    <x:row r="11">
      <x:c r="A11" t="str">
        <x:v>Loan Term</x:v>
      </x:c>
      <x:c r="B11" s="69" t="n">
        <x:v>30</x:v>
      </x:c>
      <x:c r="C11" t="str">
        <x:v>years</x:v>
      </x:c>
      <x:c r="D11" t="str">
        <x:v>Calculation assumption</x:v>
      </x:c>
      <x:c r="E11" s="70" t="str">
        <x:v>Advanced default</x:v>
      </x:c>
      <x:c r="F11" t="str">
        <x:v>Scenario assumption used for mortgage calculation.</x:v>
      </x:c>
    </x:row>
    <x:row r="12">
      <x:c r="A12" t="str">
        <x:v>Target Monthly Housing Cost</x:v>
      </x:c>
      <x:c r="B12" s="53" t="n">
        <x:v>3500</x:v>
      </x:c>
      <x:c r="C12" t="str">
        <x:v>USD/month</x:v>
      </x:c>
      <x:c r="D12" t="str">
        <x:v>Buyer preference</x:v>
      </x:c>
      <x:c r="E12" t="str">
        <x:v>Standard</x:v>
      </x:c>
      <x:c r="F12" t="str">
        <x:v>At or below target receives Monthly Fit = 100.</x:v>
      </x:c>
    </x:row>
    <x:row r="13">
      <x:c r="A13" t="str">
        <x:v>Maximum Monthly Housing Cost</x:v>
      </x:c>
      <x:c r="B13" s="53" t="n">
        <x:v>4500</x:v>
      </x:c>
      <x:c r="C13" t="str">
        <x:v>USD/month</x:v>
      </x:c>
      <x:c r="D13" t="str">
        <x:v>Buyer limit</x:v>
      </x:c>
      <x:c r="E13" t="str">
        <x:v>Standard</x:v>
      </x:c>
      <x:c r="F13" t="str">
        <x:v>At or above maximum receives Monthly Fit = 0 and a warning.</x:v>
      </x:c>
    </x:row>
    <x:row r="15">
      <x:c r="A15" s="51" t="str">
        <x:v>Calculated Internal Weights</x:v>
      </x:c>
      <x:c r="B15" s="51" t="str">
        <x:v>Weight</x:v>
      </x:c>
      <x:c r="C15" s="51" t="str">
        <x:v>Explanation</x:v>
      </x:c>
    </x:row>
    <x:row r="16">
      <x:c r="A16" t="str">
        <x:v>Price Fit Weight</x:v>
      </x:c>
      <x:c r="B16" s="56" t="n">
        <x:f>IF(SUM(B5:B6)=0,0,B5/SUM(B5:B6))</x:f>
        <x:v>0.375</x:v>
      </x:c>
      <x:c r="C16" t="str">
        <x:v>Internal only; user chooses 0–5, not percentages.</x:v>
      </x:c>
    </x:row>
    <x:row r="17">
      <x:c r="A17" t="str">
        <x:v>Monthly Housing Cost Fit Weight</x:v>
      </x:c>
      <x:c r="B17" s="56" t="n">
        <x:f>IF(SUM(B5:B6)=0,0,B6/SUM(B5:B6))</x:f>
        <x:v>0.625</x:v>
      </x:c>
      <x:c r="C17" t="str">
        <x:v>Internal only; user chooses 0–5, not percentages.</x:v>
      </x:c>
    </x:row>
    <x:row r="19">
      <x:c r="A19" s="58" t="str">
        <x:v>Design rule: financing variables help calculate outcomes; they are not scored independently, reducing double counting.</x:v>
      </x:c>
      <x:c r="B19" s="58"/>
      <x:c r="C19" s="58"/>
      <x:c r="D19" s="58"/>
      <x:c r="E19" s="58"/>
      <x:c r="F19" s="58"/>
    </x:row>
    <x:row r="20" ht="36" customHeight="1">
      <x:c r="A20" s="20" t="str">
        <x:v>UX rule: Interest Rate (6.25%) and Loan Term (30 years) use fixed prototype defaults in the standard experience. Users may modify them only under Advanced Financing Settings.</x:v>
      </x:c>
      <x:c r="B20" s="20"/>
      <x:c r="C20" s="20"/>
      <x:c r="D20" s="20"/>
      <x:c r="E20" s="20"/>
    </x:row>
    <x:row r="22" ht="15" hidden="0" customHeight="1">
      <x:c r="A22" s="72" t="str">
        <x:v>Location &amp; Lifestyle — Standard Experience</x:v>
      </x:c>
      <x:c r="B22" s="72"/>
      <x:c r="C22" s="72"/>
      <x:c r="D22" s="72"/>
      <x:c r="E22" s="72"/>
      <x:c r="F22" s="72"/>
    </x:row>
    <x:row r="23" ht="15" hidden="0" customHeight="1">
      <x:c r="A23" s="72" t="str">
        <x:v>Input</x:v>
      </x:c>
      <x:c r="B23" s="72" t="str">
        <x:v>Value</x:v>
      </x:c>
      <x:c r="C23" s="72" t="str">
        <x:v>Unit / Scale</x:v>
      </x:c>
      <x:c r="D23" s="72" t="str">
        <x:v>Role</x:v>
      </x:c>
      <x:c r="E23" s="72" t="str">
        <x:v>Visibility</x:v>
      </x:c>
      <x:c r="F23" s="72" t="str">
        <x:v>Notes</x:v>
      </x:c>
    </x:row>
    <x:row r="24" ht="26.399999618530273" hidden="0" customHeight="1">
      <x:c r="A24" s="20" t="str">
        <x:v>Overall Location &amp; Lifestyle Importance</x:v>
      </x:c>
      <x:c r="B24" s="73" t="n">
        <x:v>4</x:v>
      </x:c>
      <x:c r="C24" s="20" t="str">
        <x:v>0–5</x:v>
      </x:c>
      <x:c r="D24" s="20" t="str">
        <x:v>Dimension importance</x:v>
      </x:c>
      <x:c r="E24" s="20" t="str">
        <x:v>Standard</x:v>
      </x:c>
      <x:c r="F24" s="20" t="str">
        <x:v>0 excludes this dimension from HomeScore.</x:v>
      </x:c>
    </x:row>
    <x:row r="25" ht="15" hidden="0" customHeight="1">
      <x:c r="A25" s="20" t="str">
        <x:v>School Quality Importance</x:v>
      </x:c>
      <x:c r="B25" s="73" t="n">
        <x:v>5</x:v>
      </x:c>
      <x:c r="C25" s="20" t="str">
        <x:v>0–5</x:v>
      </x:c>
      <x:c r="D25" s="20" t="str">
        <x:v>Within location</x:v>
      </x:c>
      <x:c r="E25" s="20" t="str">
        <x:v>Standard</x:v>
      </x:c>
      <x:c r="F25" s="20" t="str">
        <x:v>If 0, skip Minimum School Quality.</x:v>
      </x:c>
    </x:row>
    <x:row r="26" ht="15" hidden="0" customHeight="1">
      <x:c r="A26" s="20" t="str">
        <x:v>Safety Importance</x:v>
      </x:c>
      <x:c r="B26" s="73" t="n">
        <x:v>4</x:v>
      </x:c>
      <x:c r="C26" s="20" t="str">
        <x:v>0–5</x:v>
      </x:c>
      <x:c r="D26" s="20" t="str">
        <x:v>Within location</x:v>
      </x:c>
      <x:c r="E26" s="20" t="str">
        <x:v>Standard</x:v>
      </x:c>
      <x:c r="F26" s="20" t="str">
        <x:v>If 0, skip Minimum Safety Score.</x:v>
      </x:c>
    </x:row>
    <x:row r="27" ht="15" hidden="0" customHeight="1">
      <x:c r="A27" s="20" t="str">
        <x:v>Commute Importance</x:v>
      </x:c>
      <x:c r="B27" s="73" t="n">
        <x:v>2</x:v>
      </x:c>
      <x:c r="C27" s="20" t="str">
        <x:v>0–5</x:v>
      </x:c>
      <x:c r="D27" s="20" t="str">
        <x:v>Within location</x:v>
      </x:c>
      <x:c r="E27" s="20" t="str">
        <x:v>Standard</x:v>
      </x:c>
      <x:c r="F27" s="20" t="str">
        <x:v>If 0, skip commute destination and Maximum Commute.</x:v>
      </x:c>
    </x:row>
    <x:row r="28" ht="15" hidden="0" customHeight="1">
      <x:c r="A28" s="20" t="str">
        <x:v>[Removed in V7] Target School Quality</x:v>
      </x:c>
      <x:c r="B28" s="73"/>
      <x:c r="C28" s="20" t="str">
        <x:v>—</x:v>
      </x:c>
      <x:c r="D28" s="20" t="str">
        <x:v>Removed</x:v>
      </x:c>
      <x:c r="E28" s="20" t="str">
        <x:v>Not used</x:v>
      </x:c>
      <x:c r="F28" s="20" t="str">
        <x:v>V7 asks only Minimum School Quality; actual 1–10 school rating preserves quality differences.</x:v>
      </x:c>
    </x:row>
    <x:row r="29" ht="26.399999618530273" hidden="0" customHeight="1">
      <x:c r="A29" s="20" t="str">
        <x:v>Minimum School Quality</x:v>
      </x:c>
      <x:c r="B29" s="73" t="n">
        <x:v>6</x:v>
      </x:c>
      <x:c r="C29" s="20" t="str">
        <x:v>1–10</x:v>
      </x:c>
      <x:c r="D29" s="20" t="str">
        <x:v>Buyer constraint</x:v>
      </x:c>
      <x:c r="E29" s="20" t="str">
        <x:v>Standard if School &gt; 0</x:v>
      </x:c>
      <x:c r="F29" s="20" t="str">
        <x:v>Below this value is flagged; meeting the minimum does not cap the score.</x:v>
      </x:c>
    </x:row>
    <x:row r="30" ht="26.399999618530273" hidden="0" customHeight="1">
      <x:c r="A30" s="20" t="str">
        <x:v>[Removed in V7] Target Safety Score</x:v>
      </x:c>
      <x:c r="B30" s="73"/>
      <x:c r="C30" s="20" t="str">
        <x:v>—</x:v>
      </x:c>
      <x:c r="D30" s="20" t="str">
        <x:v>Removed</x:v>
      </x:c>
      <x:c r="E30" s="20" t="str">
        <x:v>Not used</x:v>
      </x:c>
      <x:c r="F30" s="20" t="str">
        <x:v>V7 asks only Minimum Safety Score; actual 1–10 safety rating preserves quality differences.</x:v>
      </x:c>
    </x:row>
    <x:row r="31" ht="26.399999618530273" hidden="0" customHeight="1">
      <x:c r="A31" s="20" t="str">
        <x:v>Minimum Safety Score</x:v>
      </x:c>
      <x:c r="B31" s="73" t="n">
        <x:v>6</x:v>
      </x:c>
      <x:c r="C31" s="20" t="str">
        <x:v>1–10</x:v>
      </x:c>
      <x:c r="D31" s="20" t="str">
        <x:v>Buyer constraint</x:v>
      </x:c>
      <x:c r="E31" s="20" t="str">
        <x:v>Standard if Safety &gt; 0</x:v>
      </x:c>
      <x:c r="F31" s="20" t="str">
        <x:v>Below this value is flagged; meeting the minimum does not cap the score.</x:v>
      </x:c>
    </x:row>
    <x:row r="32" ht="26.399999618530273" hidden="0" customHeight="1">
      <x:c r="A32" s="20" t="str">
        <x:v>Primary Commute Destination</x:v>
      </x:c>
      <x:c r="B32" s="73" t="str">
        <x:v>Primary workplace</x:v>
      </x:c>
      <x:c r="C32" s="20" t="str">
        <x:v>text</x:v>
      </x:c>
      <x:c r="D32" s="20" t="str">
        <x:v>Buyer preference</x:v>
      </x:c>
      <x:c r="E32" s="20" t="str">
        <x:v>Standard</x:v>
      </x:c>
      <x:c r="F32" s="20" t="str">
        <x:v>V1 uses one primary destination; multiple destinations reserved for Advanced.</x:v>
      </x:c>
    </x:row>
    <x:row r="33" ht="15" hidden="0" customHeight="1">
      <x:c r="A33" s="20" t="str">
        <x:v>[Removed in V7] Target Commute</x:v>
      </x:c>
      <x:c r="B33" s="73"/>
      <x:c r="C33" s="20" t="str">
        <x:v>—</x:v>
      </x:c>
      <x:c r="D33" s="20" t="str">
        <x:v>Removed</x:v>
      </x:c>
      <x:c r="E33" s="20" t="str">
        <x:v>Not used</x:v>
      </x:c>
      <x:c r="F33" s="20" t="str">
        <x:v>V7 asks only Maximum Commute; no separate preferred/target commute is required.</x:v>
      </x:c>
    </x:row>
    <x:row r="34" ht="26.399999618530273" hidden="0" customHeight="1">
      <x:c r="A34" s="20" t="str">
        <x:v>Maximum Commute</x:v>
      </x:c>
      <x:c r="B34" s="73" t="n">
        <x:v>45</x:v>
      </x:c>
      <x:c r="C34" s="20" t="str">
        <x:v>minutes</x:v>
      </x:c>
      <x:c r="D34" s="20" t="str">
        <x:v>Buyer constraint</x:v>
      </x:c>
      <x:c r="E34" s="20" t="str">
        <x:v>Standard if Commute &gt; 0</x:v>
      </x:c>
      <x:c r="F34" s="20" t="str">
        <x:v>At the maximum, Commute Fit = 50 and still meets the constraint; above maximum is flagged.</x:v>
      </x:c>
    </x:row>
    <x:row r="35"/>
    <x:row r="36" ht="15" hidden="0" customHeight="1">
      <x:c r="A36" s="72" t="str">
        <x:v>Calculated Internal Weights</x:v>
      </x:c>
      <x:c r="B36" s="72" t="str">
        <x:v>Weight</x:v>
      </x:c>
      <x:c r="C36" s="72" t="str">
        <x:v>Explanation</x:v>
      </x:c>
    </x:row>
    <x:row r="37" ht="15" hidden="0" customHeight="1">
      <x:c r="A37" t="str">
        <x:v>School Fit Weight</x:v>
      </x:c>
      <x:c r="B37" s="56" t="n">
        <x:f>IF(SUM(B25:B27)=0,0,B25/SUM(B25:B27))</x:f>
        <x:v>0.45454545454545453</x:v>
      </x:c>
      <x:c r="C37" t="str">
        <x:v>Normalized from the user's 0–5 choices.</x:v>
      </x:c>
    </x:row>
    <x:row r="38" ht="15" hidden="0" customHeight="1">
      <x:c r="A38" t="str">
        <x:v>Safety Fit Weight</x:v>
      </x:c>
      <x:c r="B38" s="56" t="n">
        <x:f>IF(SUM(B25:B27)=0,0,B26/SUM(B25:B27))</x:f>
        <x:v>0.36363636363636365</x:v>
      </x:c>
      <x:c r="C38" t="str">
        <x:v>Normalized from the user's 0–5 choices.</x:v>
      </x:c>
    </x:row>
    <x:row r="39" ht="15" hidden="0" customHeight="1">
      <x:c r="A39" t="str">
        <x:v>Commute Fit Weight</x:v>
      </x:c>
      <x:c r="B39" s="56" t="n">
        <x:f>IF(SUM(B25:B27)=0,0,B27/SUM(B25:B27))</x:f>
        <x:v>0.18181818181818182</x:v>
      </x:c>
      <x:c r="C39" t="str">
        <x:v>Normalized from the user's 0–5 choices.</x:v>
      </x:c>
    </x:row>
    <x:row r="40"/>
    <x:row r="41" ht="15" hidden="0" customHeight="1">
      <x:c r="A41" s="20" t="str">
        <x:v>UX rule: In V7, Location asks only one threshold per active criterion: Minimum School, Minimum Safety, and Maximum Commute. Detailed questions appear only when the related importance is greater than 0.</x:v>
      </x:c>
      <x:c r="B41" s="20"/>
      <x:c r="C41" s="20"/>
      <x:c r="D41" s="20"/>
      <x:c r="E41" s="20"/>
      <x:c r="F41" s="20"/>
    </x:row>
    <x:row r="42" ht="16.799999237060547" hidden="0" customHeight="1">
      <x:c r="A42" s="86" t="str">
        <x:v>PROPERTY — V1</x:v>
      </x:c>
      <x:c r="B42" s="86"/>
      <x:c r="C42" s="86"/>
      <x:c r="D42" s="86"/>
    </x:row>
    <x:row r="43" ht="15" hidden="0" customHeight="1">
      <x:c r="A43" s="85" t="str">
        <x:v>Setting</x:v>
      </x:c>
      <x:c r="B43" s="85" t="str">
        <x:v>Buyer #1</x:v>
      </x:c>
      <x:c r="C43" s="85" t="str">
        <x:v>Purpose</x:v>
      </x:c>
      <x:c r="D43" s="85" t="str">
        <x:v>User-facing?</x:v>
      </x:c>
    </x:row>
    <x:row r="44" ht="52.79999923706055" hidden="0" customHeight="1">
      <x:c r="A44" s="20" t="str">
        <x:v>Overall Property Importance</x:v>
      </x:c>
      <x:c r="B44" s="20" t="n">
        <x:v>4</x:v>
      </x:c>
      <x:c r="C44" s="20" t="str">
        <x:v>Importance of the Property dimension in the future overall HomeScore</x:v>
      </x:c>
      <x:c r="D44" s="20" t="str">
        <x:v>Yes</x:v>
      </x:c>
    </x:row>
    <x:row r="45" ht="39.599998474121094" hidden="0" customHeight="1">
      <x:c r="A45" s="20" t="str">
        <x:v>Square Feet Importance</x:v>
      </x:c>
      <x:c r="B45" s="20" t="n">
        <x:v>3</x:v>
      </x:c>
      <x:c r="C45" s="20" t="str">
        <x:v>Overall Property dimension importance used by the active HomeScore V1 hierarchy.</x:v>
      </x:c>
      <x:c r="D45" s="20" t="str">
        <x:v>Yes</x:v>
      </x:c>
    </x:row>
    <x:row r="46" ht="39.599998474121094" hidden="0" customHeight="1">
      <x:c r="A46" s="20" t="str">
        <x:v>Amenities Importance</x:v>
      </x:c>
      <x:c r="B46" s="20" t="n">
        <x:v>3</x:v>
      </x:c>
      <x:c r="C46" s="20" t="str">
        <x:v>0–5 importance; normalized internally within Property</x:v>
      </x:c>
      <x:c r="D46" s="20" t="str">
        <x:v>Yes</x:v>
      </x:c>
    </x:row>
    <x:row r="47" ht="26.399999618530273" hidden="0" customHeight="1">
      <x:c r="A47" s="20" t="str">
        <x:v>Minimum Square Feet</x:v>
      </x:c>
      <x:c r="B47" s="87" t="n">
        <x:v>1800</x:v>
      </x:c>
      <x:c r="C47" s="20" t="str">
        <x:v>Lowest acceptable home size</x:v>
      </x:c>
      <x:c r="D47" s="20" t="str">
        <x:v>Yes</x:v>
      </x:c>
    </x:row>
    <x:row r="48" ht="26.399999618530273" hidden="0" customHeight="1">
      <x:c r="A48" s="20" t="str">
        <x:v>Target Square Feet</x:v>
      </x:c>
      <x:c r="B48" s="87" t="n">
        <x:v>2500</x:v>
      </x:c>
      <x:c r="C48" s="20" t="str">
        <x:v>At or above target receives 100 Size Fit</x:v>
      </x:c>
      <x:c r="D48" s="20" t="str">
        <x:v>Yes</x:v>
      </x:c>
    </x:row>
    <x:row r="49" ht="15" hidden="0" customHeight="1">
      <x:c r="A49" s="20" t="str">
        <x:v>Garage</x:v>
      </x:c>
      <x:c r="B49" s="20" t="str">
        <x:v>Must Have</x:v>
      </x:c>
      <x:c r="C49" s="20" t="str">
        <x:v>Amenity preference</x:v>
      </x:c>
      <x:c r="D49" s="20" t="str">
        <x:v>Yes</x:v>
      </x:c>
    </x:row>
    <x:row r="50" ht="15" hidden="0" customHeight="1">
      <x:c r="A50" s="20" t="str">
        <x:v>Pool</x:v>
      </x:c>
      <x:c r="B50" s="20" t="str">
        <x:v>Don't Care</x:v>
      </x:c>
      <x:c r="C50" s="20" t="str">
        <x:v>Amenity preference</x:v>
      </x:c>
      <x:c r="D50" s="20" t="str">
        <x:v>Yes</x:v>
      </x:c>
    </x:row>
    <x:row r="51" ht="15" hidden="0" customHeight="1">
      <x:c r="A51" s="20" t="str">
        <x:v>Large Yard</x:v>
      </x:c>
      <x:c r="B51" s="20" t="str">
        <x:v>Nice to Have</x:v>
      </x:c>
      <x:c r="C51" s="20" t="str">
        <x:v>Amenity preference</x:v>
      </x:c>
      <x:c r="D51" s="20" t="str">
        <x:v>Yes</x:v>
      </x:c>
    </x:row>
    <x:row r="52" ht="15" hidden="0" customHeight="1">
      <x:c r="A52" s="20" t="str">
        <x:v>Home Office</x:v>
      </x:c>
      <x:c r="B52" s="20" t="str">
        <x:v>Must Have</x:v>
      </x:c>
      <x:c r="C52" s="20" t="str">
        <x:v>Amenity preference</x:v>
      </x:c>
      <x:c r="D52" s="20" t="str">
        <x:v>Yes</x:v>
      </x:c>
    </x:row>
    <x:row r="53" ht="15" hidden="0" customHeight="1">
      <x:c r="A53" s="20" t="str">
        <x:v>Updated Kitchen</x:v>
      </x:c>
      <x:c r="B53" s="20" t="str">
        <x:v>Nice to Have</x:v>
      </x:c>
      <x:c r="C53" s="20" t="str">
        <x:v>Amenity preference</x:v>
      </x:c>
      <x:c r="D53" s="20" t="str">
        <x:v>Yes</x:v>
      </x:c>
    </x:row>
    <x:row r="54" ht="15" hidden="0" customHeight="1">
      <x:c r="A54" s="20" t="str">
        <x:v>First-floor Primary</x:v>
      </x:c>
      <x:c r="B54" s="20" t="str">
        <x:v>Don't Care</x:v>
      </x:c>
      <x:c r="C54" s="20" t="str">
        <x:v>Amenity preference</x:v>
      </x:c>
      <x:c r="D54" s="20" t="str">
        <x:v>Yes</x:v>
      </x:c>
    </x:row>
    <x:row r="55" ht="15" hidden="0" customHeight="1">
      <x:c r="A55" s="20" t="str">
        <x:v>Normalized Size Weight</x:v>
      </x:c>
      <x:c r="B55" s="36" t="n">
        <x:f>IF(SUM(B45:B46)=0,0,B45/SUM(B45:B46))</x:f>
        <x:v>0.5</x:v>
      </x:c>
      <x:c r="C55" s="20" t="str">
        <x:v>Internal only</x:v>
      </x:c>
      <x:c r="D55" s="20" t="str">
        <x:v>No</x:v>
      </x:c>
    </x:row>
    <x:row r="56" ht="15" hidden="0" customHeight="1">
      <x:c r="A56" s="20" t="str">
        <x:v>Normalized Amenities Weight</x:v>
      </x:c>
      <x:c r="B56" s="36" t="n">
        <x:f>IF(SUM(B45:B46)=0,0,B46/SUM(B45:B46))</x:f>
        <x:v>0.5</x:v>
      </x:c>
      <x:c r="C56" s="20" t="str">
        <x:v>Internal only</x:v>
      </x:c>
      <x:c r="D56" s="20" t="str">
        <x:v>No</x:v>
      </x:c>
    </x:row>
    <x:row r="59" ht="16.799999237060547" hidden="0" customHeight="1">
      <x:c r="A59" s="105" t="str">
        <x:v>OVERALL HOMESCORE — V1</x:v>
      </x:c>
      <x:c r="B59" s="105"/>
      <x:c r="C59" s="105"/>
      <x:c r="D59" s="105"/>
    </x:row>
    <x:row r="60" ht="15" hidden="0" customHeight="1">
      <x:c r="A60" s="104" t="str">
        <x:v>Setting</x:v>
      </x:c>
      <x:c r="B60" s="104" t="str">
        <x:v>Buyer #1</x:v>
      </x:c>
      <x:c r="C60" s="104" t="str">
        <x:v>Purpose</x:v>
      </x:c>
      <x:c r="D60" s="104" t="str">
        <x:v>User-facing?</x:v>
      </x:c>
    </x:row>
    <x:row r="61" ht="26.399999618530273" hidden="0" customHeight="1">
      <x:c r="A61" s="20" t="str">
        <x:v>Affordability Importance</x:v>
      </x:c>
      <x:c r="B61" s="20" t="n">
        <x:v>5</x:v>
      </x:c>
      <x:c r="C61" s="20" t="str">
        <x:v>Overall dimension importance, 0–5</x:v>
      </x:c>
      <x:c r="D61" s="20" t="str">
        <x:v>Yes</x:v>
      </x:c>
    </x:row>
    <x:row r="62" ht="26.399999618530273" hidden="0" customHeight="1">
      <x:c r="A62" s="20" t="str">
        <x:v>Location &amp; Lifestyle Importance</x:v>
      </x:c>
      <x:c r="B62" s="20" t="n">
        <x:v>4</x:v>
      </x:c>
      <x:c r="C62" s="20" t="str">
        <x:v>Overall dimension importance, 0–5</x:v>
      </x:c>
      <x:c r="D62" s="20" t="str">
        <x:v>Yes</x:v>
      </x:c>
    </x:row>
    <x:row r="63" ht="26.399999618530273" hidden="0" customHeight="1">
      <x:c r="A63" s="20" t="str">
        <x:v>Property Importance</x:v>
      </x:c>
      <x:c r="B63" s="20" t="n">
        <x:v>3</x:v>
      </x:c>
      <x:c r="C63" s="20" t="str">
        <x:v>Overall dimension importance, 0–5</x:v>
      </x:c>
      <x:c r="D63" s="20" t="str">
        <x:v>Yes</x:v>
      </x:c>
    </x:row>
    <x:row r="64" ht="26.399999618530273" hidden="0" customHeight="1">
      <x:c r="A64" s="20" t="str">
        <x:v>Investment Potential</x:v>
      </x:c>
      <x:c r="B64" s="20" t="str">
        <x:v>Research / Experimental</x:v>
      </x:c>
      <x:c r="C64" s="20" t="str">
        <x:v>Excluded from active V1 HomeScore</x:v>
      </x:c>
      <x:c r="D64" s="20" t="str">
        <x:v>Shown as roadmap</x:v>
      </x:c>
    </x:row>
    <x:row r="65" ht="15" hidden="0" customHeight="1">
      <x:c r="A65" s="20" t="str">
        <x:v>Normalized Affordability Weight</x:v>
      </x:c>
      <x:c r="B65" s="36" t="n">
        <x:f>IF(SUM(B61:B63)=0,0,B61/SUM(B61:B63))</x:f>
        <x:v>0.4166666666666667</x:v>
      </x:c>
      <x:c r="C65" s="20" t="str">
        <x:v>Internal only</x:v>
      </x:c>
      <x:c r="D65" s="20" t="str">
        <x:v>No</x:v>
      </x:c>
    </x:row>
    <x:row r="66" ht="15" hidden="0" customHeight="1">
      <x:c r="A66" s="20" t="str">
        <x:v>Normalized Location Weight</x:v>
      </x:c>
      <x:c r="B66" s="36" t="n">
        <x:f>IF(SUM(B61:B63)=0,0,B62/SUM(B61:B63))</x:f>
        <x:v>0.3333333333333333</x:v>
      </x:c>
      <x:c r="C66" s="20" t="str">
        <x:v>Internal only</x:v>
      </x:c>
      <x:c r="D66" s="20" t="str">
        <x:v>No</x:v>
      </x:c>
    </x:row>
    <x:row r="67" ht="15" hidden="0" customHeight="1">
      <x:c r="A67" s="20" t="str">
        <x:v>Normalized Property Weight</x:v>
      </x:c>
      <x:c r="B67" s="36" t="n">
        <x:f>IF(SUM(B61:B63)=0,0,B63/SUM(B61:B63))</x:f>
        <x:v>0.25</x:v>
      </x:c>
      <x:c r="C67" s="20" t="str">
        <x:v>Internal only</x:v>
      </x:c>
      <x:c r="D67" s="20" t="str">
        <x:v>No</x:v>
      </x:c>
    </x:row>
  </x:sheetData>
  <x:mergeCells>
    <x:mergeCell ref="A1:F1"/>
    <x:mergeCell ref="A19:F19"/>
    <x:mergeCell ref="A20:E20"/>
    <x:mergeCell ref="A22:F22"/>
    <x:mergeCell ref="A41:F41"/>
    <x:mergeCell ref="A42:D42"/>
    <x:mergeCell ref="A59:D59"/>
  </x:mergeCells>
  <x:dataValidations count="1">
    <x:dataValidation operator="between" sqref="B4:B6">
      <x:formula1>0</x:formula1>
      <x:formula2>5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7" hidden="0" customWidth="1"/>
    <x:col min="4" max="4" width="15" hidden="0" customWidth="1"/>
    <x:col min="5" max="5" width="12" hidden="0" customWidth="1"/>
    <x:col min="6" max="6" width="15" hidden="0" customWidth="1"/>
    <x:col min="7" max="7" width="15" hidden="0" customWidth="1"/>
    <x:col min="8" max="8" width="14" hidden="0" customWidth="1"/>
    <x:col min="9" max="9" width="12" hidden="0" customWidth="1"/>
    <x:col min="10" max="10" width="14" hidden="0" customWidth="1"/>
    <x:col min="11" max="11" width="18" hidden="0" customWidth="1"/>
    <x:col min="12" max="12" width="12" hidden="0" customWidth="1"/>
    <x:col min="13" max="13" width="12" hidden="0" customWidth="1"/>
    <x:col min="14" max="14" width="16" hidden="0" customWidth="1"/>
    <x:col min="15" max="15" width="15" hidden="0" customWidth="1"/>
    <x:col min="16" max="16" width="15" hidden="0" customWidth="1"/>
    <x:col min="17" max="17" width="24" hidden="0" customWidth="1"/>
  </x:cols>
  <x:sheetData>
    <x:row r="1">
      <x:c r="A1" s="64" t="str">
        <x:v>Affordability Experiment #1 — Buyer Fit Model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20"/>
      <x:c r="P1" s="20"/>
      <x:c r="Q1" s="20"/>
    </x:row>
    <x:row r="2">
      <x:c r="A2" s="20" t="str">
        <x:v>Hypothetical test homes. This lab tests whether the affordability engine behaves logically before app coding.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3" ht="32" customHeight="1">
      <x:c r="A3" s="20" t="str">
        <x:v>Prototype financing defaults used in this experiment: 6.25% annual interest and 30-year loan term. These are editable only through Advanced Financing Settings.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</x:row>
    <x:row r="4">
      <x:c r="A4" s="51" t="str">
        <x:v>Home</x:v>
      </x:c>
      <x:c r="B4" s="51" t="str">
        <x:v>Purchase Price</x:v>
      </x:c>
      <x:c r="C4" s="51" t="str">
        <x:v>Property Tax / Yr</x:v>
      </x:c>
      <x:c r="D4" s="51" t="str">
        <x:v>Insurance / Yr</x:v>
      </x:c>
      <x:c r="E4" s="51" t="str">
        <x:v>HOA / Mo</x:v>
      </x:c>
      <x:c r="F4" s="51" t="str">
        <x:v>Down Payment</x:v>
      </x:c>
      <x:c r="G4" s="51" t="str">
        <x:v>Loan Amount</x:v>
      </x:c>
      <x:c r="H4" s="51" t="str">
        <x:v>P&amp;I / Mo</x:v>
      </x:c>
      <x:c r="I4" s="51" t="str">
        <x:v>Tax / Mo</x:v>
      </x:c>
      <x:c r="J4" s="51" t="str">
        <x:v>Insurance / Mo</x:v>
      </x:c>
      <x:c r="K4" s="51" t="str">
        <x:v>Total Housing / Mo</x:v>
      </x:c>
      <x:c r="L4" s="51" t="str">
        <x:v>Price Fit</x:v>
      </x:c>
      <x:c r="M4" s="51" t="str">
        <x:v>Monthly Fit</x:v>
      </x:c>
      <x:c r="N4" s="51" t="str">
        <x:v>Affordability Fit</x:v>
      </x:c>
      <x:c r="O4" s="51" t="str">
        <x:v>Price Limit</x:v>
      </x:c>
      <x:c r="P4" s="51" t="str">
        <x:v>Monthly Limit</x:v>
      </x:c>
      <x:c r="Q4" s="51" t="str">
        <x:v>Interpretation</x:v>
      </x:c>
    </x:row>
    <x:row r="5">
      <x:c r="A5" s="52" t="str">
        <x:v>House A</x:v>
      </x:c>
      <x:c r="B5" s="53" t="n">
        <x:v>425000</x:v>
      </x:c>
      <x:c r="C5" s="53" t="n">
        <x:v>7000</x:v>
      </x:c>
      <x:c r="D5" s="53" t="n">
        <x:v>2000</x:v>
      </x:c>
      <x:c r="E5" s="53" t="n">
        <x:v>0</x:v>
      </x:c>
      <x:c r="F5" s="60" t="n">
        <x:f>'Buyer - Model 2'!$B$9</x:f>
        <x:v>100000</x:v>
      </x:c>
      <x:c r="G5" s="60" t="n">
        <x:f>MAX(0,B5-F5)</x:f>
        <x:v>325000</x:v>
      </x:c>
      <x:c r="H5" s="60" t="n">
        <x:f>IF(G5=0,0,G5*('Buyer - Model 2'!$B$10/12)*(1+'Buyer - Model 2'!$B$10/12)^('Buyer - Model 2'!$B$11*12)/((1+'Buyer - Model 2'!$B$10/12)^('Buyer - Model 2'!$B$11*12)-1))</x:f>
        <x:v>2001.080901385779</x:v>
      </x:c>
      <x:c r="I5" s="60" t="n">
        <x:f>C5/12</x:f>
        <x:v>583.3333333333334</x:v>
      </x:c>
      <x:c r="J5" s="60" t="n">
        <x:f>D5/12</x:f>
        <x:v>166.66666666666666</x:v>
      </x:c>
      <x:c r="K5" s="60" t="n">
        <x:f>H5+I5+J5+E5</x:f>
        <x:v>2751.080901385779</x:v>
      </x:c>
      <x:c r="L5" s="61" t="n">
        <x:f>IF(B5&lt;='Buyer - Model 2'!$B$7,100,IF(B5&gt;='Buyer - Model 2'!$B$8,0,100*('Buyer - Model 2'!$B$8-B5)/('Buyer - Model 2'!$B$8-'Buyer - Model 2'!$B$7)))</x:f>
        <x:v>100</x:v>
      </x:c>
      <x:c r="M5" s="61" t="n">
        <x:f>IF(K5&lt;='Buyer - Model 2'!$B$12,100,IF(K5&gt;='Buyer - Model 2'!$B$13,0,100*('Buyer - Model 2'!$B$13-K5)/('Buyer - Model 2'!$B$13-'Buyer - Model 2'!$B$12)))</x:f>
        <x:v>100</x:v>
      </x:c>
      <x:c r="N5" s="61" t="n">
        <x:f>IF(SUM('Buyer - Model 2'!$B$5:$B$6)=0,0,L5*'Buyer - Model 2'!$B$16+M5*'Buyer - Model 2'!$B$17)</x:f>
        <x:v>100</x:v>
      </x:c>
      <x:c r="O5" s="62" t="str">
        <x:f>IF(B5&gt;'Buyer - Model 2'!$B$8,"EXCEEDS MAX","Within limit")</x:f>
        <x:v>Within limit</x:v>
      </x:c>
      <x:c r="P5" s="62" t="str">
        <x:f>IF(K5&gt;'Buyer - Model 2'!$B$13,"EXCEEDS MAX","Within limit")</x:f>
        <x:v>Within limit</x:v>
      </x:c>
      <x:c r="Q5" s="62" t="str">
        <x:f>IF(OR(O5="EXCEEDS MAX",P5="EXCEEDS MAX"),"Review stated limit(s)","Within stated limits")</x:f>
        <x:v>Within stated limits</x:v>
      </x:c>
    </x:row>
    <x:row r="6">
      <x:c r="A6" s="52" t="str">
        <x:v>House B</x:v>
      </x:c>
      <x:c r="B6" s="53" t="n">
        <x:v>500000</x:v>
      </x:c>
      <x:c r="C6" s="53" t="n">
        <x:v>8500</x:v>
      </x:c>
      <x:c r="D6" s="53" t="n">
        <x:v>2200</x:v>
      </x:c>
      <x:c r="E6" s="53" t="n">
        <x:v>100</x:v>
      </x:c>
      <x:c r="F6" s="60" t="n">
        <x:f>'Buyer - Model 2'!$B$9</x:f>
        <x:v>100000</x:v>
      </x:c>
      <x:c r="G6" s="60" t="n">
        <x:f>MAX(0,B6-F6)</x:f>
        <x:v>400000</x:v>
      </x:c>
      <x:c r="H6" s="60" t="n">
        <x:f>IF(G6=0,0,G6*('Buyer - Model 2'!$B$10/12)*(1+'Buyer - Model 2'!$B$10/12)^('Buyer - Model 2'!$B$11*12)/((1+'Buyer - Model 2'!$B$10/12)^('Buyer - Model 2'!$B$11*12)-1))</x:f>
        <x:v>2462.868801705574</x:v>
      </x:c>
      <x:c r="I6" s="60" t="n">
        <x:f>C6/12</x:f>
        <x:v>708.3333333333334</x:v>
      </x:c>
      <x:c r="J6" s="60" t="n">
        <x:f>D6/12</x:f>
        <x:v>183.33333333333334</x:v>
      </x:c>
      <x:c r="K6" s="60" t="n">
        <x:f>H6+I6+J6+E6</x:f>
        <x:v>3454.5354683722408</x:v>
      </x:c>
      <x:c r="L6" s="61" t="n">
        <x:f>IF(B6&lt;='Buyer - Model 2'!$B$7,100,IF(B6&gt;='Buyer - Model 2'!$B$8,0,100*('Buyer - Model 2'!$B$8-B6)/('Buyer - Model 2'!$B$8-'Buyer - Model 2'!$B$7)))</x:f>
        <x:v>66.66666666666667</x:v>
      </x:c>
      <x:c r="M6" s="61" t="n">
        <x:f>IF(K6&lt;='Buyer - Model 2'!$B$12,100,IF(K6&gt;='Buyer - Model 2'!$B$13,0,100*('Buyer - Model 2'!$B$13-K6)/('Buyer - Model 2'!$B$13-'Buyer - Model 2'!$B$12)))</x:f>
        <x:v>100</x:v>
      </x:c>
      <x:c r="N6" s="61" t="n">
        <x:f>IF(SUM('Buyer - Model 2'!$B$5:$B$6)=0,0,L6*'Buyer - Model 2'!$B$16+M6*'Buyer - Model 2'!$B$17)</x:f>
        <x:v>87.5</x:v>
      </x:c>
      <x:c r="O6" s="62" t="str">
        <x:f>IF(B6&gt;'Buyer - Model 2'!$B$8,"EXCEEDS MAX","Within limit")</x:f>
        <x:v>Within limit</x:v>
      </x:c>
      <x:c r="P6" s="62" t="str">
        <x:f>IF(K6&gt;'Buyer - Model 2'!$B$13,"EXCEEDS MAX","Within limit")</x:f>
        <x:v>Within limit</x:v>
      </x:c>
      <x:c r="Q6" s="62" t="str">
        <x:f>IF(OR(O6="EXCEEDS MAX",P6="EXCEEDS MAX"),"Review stated limit(s)","Within stated limits")</x:f>
        <x:v>Within stated limits</x:v>
      </x:c>
    </x:row>
    <x:row r="7">
      <x:c r="A7" s="52" t="str">
        <x:v>House C</x:v>
      </x:c>
      <x:c r="B7" s="53" t="n">
        <x:v>550000</x:v>
      </x:c>
      <x:c r="C7" s="53" t="n">
        <x:v>12000</x:v>
      </x:c>
      <x:c r="D7" s="53" t="n">
        <x:v>2400</x:v>
      </x:c>
      <x:c r="E7" s="53" t="n">
        <x:v>0</x:v>
      </x:c>
      <x:c r="F7" s="60" t="n">
        <x:f>'Buyer - Model 2'!$B$9</x:f>
        <x:v>100000</x:v>
      </x:c>
      <x:c r="G7" s="60" t="n">
        <x:f>MAX(0,B7-F7)</x:f>
        <x:v>450000</x:v>
      </x:c>
      <x:c r="H7" s="60" t="n">
        <x:f>IF(G7=0,0,G7*('Buyer - Model 2'!$B$10/12)*(1+'Buyer - Model 2'!$B$10/12)^('Buyer - Model 2'!$B$11*12)/((1+'Buyer - Model 2'!$B$10/12)^('Buyer - Model 2'!$B$11*12)-1))</x:f>
        <x:v>2770.7274019187707</x:v>
      </x:c>
      <x:c r="I7" s="60" t="n">
        <x:f>C7/12</x:f>
        <x:v>1000</x:v>
      </x:c>
      <x:c r="J7" s="60" t="n">
        <x:f>D7/12</x:f>
        <x:v>200</x:v>
      </x:c>
      <x:c r="K7" s="60" t="n">
        <x:f>H7+I7+J7+E7</x:f>
        <x:v>3970.7274019187707</x:v>
      </x:c>
      <x:c r="L7" s="61" t="n">
        <x:f>IF(B7&lt;='Buyer - Model 2'!$B$7,100,IF(B7&gt;='Buyer - Model 2'!$B$8,0,100*('Buyer - Model 2'!$B$8-B7)/('Buyer - Model 2'!$B$8-'Buyer - Model 2'!$B$7)))</x:f>
        <x:v>33.333333333333336</x:v>
      </x:c>
      <x:c r="M7" s="61" t="n">
        <x:f>IF(K7&lt;='Buyer - Model 2'!$B$12,100,IF(K7&gt;='Buyer - Model 2'!$B$13,0,100*('Buyer - Model 2'!$B$13-K7)/('Buyer - Model 2'!$B$13-'Buyer - Model 2'!$B$12)))</x:f>
        <x:v>52.92725980812292</x:v>
      </x:c>
      <x:c r="N7" s="61" t="n">
        <x:f>IF(SUM('Buyer - Model 2'!$B$5:$B$6)=0,0,L7*'Buyer - Model 2'!$B$16+M7*'Buyer - Model 2'!$B$17)</x:f>
        <x:v>45.57953738007682</x:v>
      </x:c>
      <x:c r="O7" s="62" t="str">
        <x:f>IF(B7&gt;'Buyer - Model 2'!$B$8,"EXCEEDS MAX","Within limit")</x:f>
        <x:v>Within limit</x:v>
      </x:c>
      <x:c r="P7" s="62" t="str">
        <x:f>IF(K7&gt;'Buyer - Model 2'!$B$13,"EXCEEDS MAX","Within limit")</x:f>
        <x:v>Within limit</x:v>
      </x:c>
      <x:c r="Q7" s="62" t="str">
        <x:f>IF(OR(O7="EXCEEDS MAX",P7="EXCEEDS MAX"),"Review stated limit(s)","Within stated limits")</x:f>
        <x:v>Within stated limits</x:v>
      </x:c>
    </x:row>
    <x:row r="8">
      <x:c r="A8" s="52" t="str">
        <x:v>House D</x:v>
      </x:c>
      <x:c r="B8" s="53" t="n">
        <x:v>625000</x:v>
      </x:c>
      <x:c r="C8" s="53" t="n">
        <x:v>10000</x:v>
      </x:c>
      <x:c r="D8" s="53" t="n">
        <x:v>2600</x:v>
      </x:c>
      <x:c r="E8" s="53" t="n">
        <x:v>150</x:v>
      </x:c>
      <x:c r="F8" s="60" t="n">
        <x:f>'Buyer - Model 2'!$B$9</x:f>
        <x:v>100000</x:v>
      </x:c>
      <x:c r="G8" s="60" t="n">
        <x:f>MAX(0,B8-F8)</x:f>
        <x:v>525000</x:v>
      </x:c>
      <x:c r="H8" s="60" t="n">
        <x:f>IF(G8=0,0,G8*('Buyer - Model 2'!$B$10/12)*(1+'Buyer - Model 2'!$B$10/12)^('Buyer - Model 2'!$B$11*12)/((1+'Buyer - Model 2'!$B$10/12)^('Buyer - Model 2'!$B$11*12)-1))</x:f>
        <x:v>3232.5153022385657</x:v>
      </x:c>
      <x:c r="I8" s="60" t="n">
        <x:f>C8/12</x:f>
        <x:v>833.3333333333334</x:v>
      </x:c>
      <x:c r="J8" s="60" t="n">
        <x:f>D8/12</x:f>
        <x:v>216.66666666666666</x:v>
      </x:c>
      <x:c r="K8" s="60" t="n">
        <x:f>H8+I8+J8+E8</x:f>
        <x:v>4432.515302238566</x:v>
      </x:c>
      <x:c r="L8" s="61" t="n">
        <x:f>IF(B8&lt;='Buyer - Model 2'!$B$7,100,IF(B8&gt;='Buyer - Model 2'!$B$8,0,100*('Buyer - Model 2'!$B$8-B8)/('Buyer - Model 2'!$B$8-'Buyer - Model 2'!$B$7)))</x:f>
        <x:v>0</x:v>
      </x:c>
      <x:c r="M8" s="61" t="n">
        <x:f>IF(K8&lt;='Buyer - Model 2'!$B$12,100,IF(K8&gt;='Buyer - Model 2'!$B$13,0,100*('Buyer - Model 2'!$B$13-K8)/('Buyer - Model 2'!$B$13-'Buyer - Model 2'!$B$12)))</x:f>
        <x:v>6.748469776143429</x:v>
      </x:c>
      <x:c r="N8" s="61" t="n">
        <x:f>IF(SUM('Buyer - Model 2'!$B$5:$B$6)=0,0,L8*'Buyer - Model 2'!$B$16+M8*'Buyer - Model 2'!$B$17)</x:f>
        <x:v>4.217793610089643</x:v>
      </x:c>
      <x:c r="O8" s="62" t="str">
        <x:f>IF(B8&gt;'Buyer - Model 2'!$B$8,"EXCEEDS MAX","Within limit")</x:f>
        <x:v>EXCEEDS MAX</x:v>
      </x:c>
      <x:c r="P8" s="62" t="str">
        <x:f>IF(K8&gt;'Buyer - Model 2'!$B$13,"EXCEEDS MAX","Within limit")</x:f>
        <x:v>Within limit</x:v>
      </x:c>
      <x:c r="Q8" s="62" t="str">
        <x:f>IF(OR(O8="EXCEEDS MAX",P8="EXCEEDS MAX"),"Review stated limit(s)","Within stated limits")</x:f>
        <x:v>Review stated limit(s)</x:v>
      </x:c>
    </x:row>
    <x:row r="11">
      <x:c r="A11" s="58" t="str">
        <x:v>What this experiment is testing</x:v>
      </x:c>
      <x:c r="B11" s="58"/>
      <x:c r="C11" s="58"/>
      <x:c r="D11" s="58"/>
      <x:c r="E11" s="58"/>
      <x:c r="F11" s="58"/>
    </x:row>
    <x:row r="12">
      <x:c r="A12" t="str">
        <x:v>1.</x:v>
      </x:c>
      <x:c r="B12" t="str">
        <x:v>Price Fit</x:v>
      </x:c>
      <x:c r="C12" t="str">
        <x:v>Uses buyer target and maximum, not the other homes.</x:v>
      </x:c>
      <x:c r="D12" t="str"/>
      <x:c r="E12" t="str"/>
      <x:c r="F12" t="str"/>
    </x:row>
    <x:row r="13">
      <x:c r="A13" t="str">
        <x:v>2.</x:v>
      </x:c>
      <x:c r="B13" t="str">
        <x:v>Monthly Fit</x:v>
      </x:c>
      <x:c r="C13" t="str">
        <x:v>Uses calculated total housing cost vs buyer target and maximum.</x:v>
      </x:c>
      <x:c r="D13" t="str"/>
      <x:c r="E13" t="str"/>
      <x:c r="F13" t="str"/>
    </x:row>
    <x:row r="14">
      <x:c r="A14" t="str">
        <x:v>3.</x:v>
      </x:c>
      <x:c r="B14" t="str">
        <x:v>No double counting</x:v>
      </x:c>
      <x:c r="C14" t="str">
        <x:v>Tax, insurance, HOA, down payment, rate and term feed calculations but are not separate scores.</x:v>
      </x:c>
      <x:c r="D14" t="str"/>
      <x:c r="E14" t="str"/>
      <x:c r="F14" t="str"/>
    </x:row>
    <x:row r="15">
      <x:c r="A15" t="str">
        <x:v>4.</x:v>
      </x:c>
      <x:c r="B15" t="str">
        <x:v>Buyer-controlled weighting</x:v>
      </x:c>
      <x:c r="C15" t="str">
        <x:v>0–5 importance choices are normalized internally into Price vs Monthly weights.</x:v>
      </x:c>
      <x:c r="D15" t="str"/>
      <x:c r="E15" t="str"/>
      <x:c r="F15" t="str"/>
    </x:row>
  </x:sheetData>
  <x:mergeCells>
    <x:mergeCell ref="A1:N1"/>
    <x:mergeCell ref="A2:N2"/>
    <x:mergeCell ref="A11:F11"/>
    <x:mergeCell ref="A3:Q3"/>
  </x:mergeCells>
  <x:conditionalFormatting sqref="L5:N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O5:P8">
    <x:cfRule type="expression" dxfId="0" priority="2">
      <x:formula>O5="EXCEEDS MAX"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52" hidden="0" customWidth="1"/>
    <x:col min="4" max="4" width="52" hidden="0" customWidth="1"/>
    <x:col min="5" max="5" width="42" hidden="0" customWidth="1"/>
  </x:cols>
  <x:sheetData>
    <x:row r="1">
      <x:c r="A1" s="64" t="str">
        <x:v>HomeScore AI — Development Journal</x:v>
      </x:c>
      <x:c r="B1" s="64"/>
      <x:c r="C1" s="64"/>
      <x:c r="D1" s="64"/>
      <x:c r="E1" s="64"/>
    </x:row>
    <x:row r="3">
      <x:c r="A3" s="51" t="str">
        <x:v>Decision</x:v>
      </x:c>
      <x:c r="B3" s="51" t="str">
        <x:v>Starting Point</x:v>
      </x:c>
      <x:c r="C3" s="51" t="str">
        <x:v>Observation / Problem</x:v>
      </x:c>
      <x:c r="D3" s="51" t="str">
        <x:v>Decision</x:v>
      </x:c>
      <x:c r="E3" s="51" t="str">
        <x:v>Why It Matters</x:v>
      </x:c>
    </x:row>
    <x:row r="4">
      <x:c r="A4" s="20" t="str">
        <x:v>#1 Relative min-max normalization</x:v>
      </x:c>
      <x:c r="B4" s="20" t="str">
        <x:v>Mentor prototype uses candidate-set min-max normalization.</x:v>
      </x:c>
      <x:c r="C4" s="20" t="str">
        <x:v>An unchanged home's utility can change when another home is added or removed.</x:v>
      </x:c>
      <x:c r="D4" s="20" t="str">
        <x:v>Preserve as Model 1 baseline; investigate Buyer Fit as Model 2.</x:v>
      </x:c>
      <x:c r="E4" s="20" t="str">
        <x:v>Separates relative comparison from buyer-specific fit.</x:v>
      </x:c>
    </x:row>
    <x:row r="5">
      <x:c r="A5" s="20" t="str">
        <x:v>#2 Preference input scale</x:v>
      </x:c>
      <x:c r="B5" s="20" t="str">
        <x:v>Raw weights could be arbitrary values.</x:v>
      </x:c>
      <x:c r="C5" s="20" t="str">
        <x:v>Percentages create unnecessary work for users.</x:v>
      </x:c>
      <x:c r="D5" s="20" t="str">
        <x:v>Use 0–5 importance choices and normalize internally.</x:v>
      </x:c>
      <x:c r="E5" s="20" t="str">
        <x:v>Keeps UX simple while preserving mathematical weights.</x:v>
      </x:c>
    </x:row>
    <x:row r="6">
      <x:c r="A6" s="20" t="str">
        <x:v>#3 Importance vs preference</x:v>
      </x:c>
      <x:c r="B6" s="20" t="str">
        <x:v>Initial idea mixed weighting and targets.</x:v>
      </x:c>
      <x:c r="C6" s="20" t="str">
        <x:v>How much something matters is different from what the buyer wants.</x:v>
      </x:c>
      <x:c r="D6" s="20" t="str">
        <x:v>Separate importance (0–5) from target/maximum values.</x:v>
      </x:c>
      <x:c r="E6" s="20" t="str">
        <x:v>Creates clearer, explainable personalization.</x:v>
      </x:c>
    </x:row>
    <x:row r="7">
      <x:c r="A7" s="20" t="str">
        <x:v>#4 Financial inputs vs scored outcomes</x:v>
      </x:c>
      <x:c r="B7" s="20" t="str">
        <x:v>Price, payment and tax were considered as separate scored criteria.</x:v>
      </x:c>
      <x:c r="C7" s="20" t="str">
        <x:v>Monthly cost is caused by price, down payment, rate, term, tax, insurance, HOA and possibly PMI; scoring all can double count.</x:v>
      </x:c>
      <x:c r="D7" s="20" t="str">
        <x:v>Use financing/property variables as calculation inputs; score meaningful outcomes.</x:v>
      </x:c>
      <x:c r="E7" s="20" t="str">
        <x:v>Reduces double counting and improves interpretability.</x:v>
      </x:c>
    </x:row>
    <x:row r="8">
      <x:c r="A8" s="20" t="str">
        <x:v>#5 Affordability outcomes</x:v>
      </x:c>
      <x:c r="B8" s="20" t="str">
        <x:v>Equal subcriteria weights were considered.</x:v>
      </x:c>
      <x:c r="C8" s="20" t="str">
        <x:v>Equal weighting is another hidden assumption.</x:v>
      </x:c>
      <x:c r="D8" s="20" t="str">
        <x:v>Score Price Fit and Monthly Housing Cost Fit; let buyer rate each 0–5 and normalize automatically.</x:v>
      </x:c>
      <x:c r="E8" s="20" t="str">
        <x:v>Weights reflect buyer priorities rather than designer assumptions.</x:v>
      </x:c>
    </x:row>
    <x:row r="9">
      <x:c r="A9" s="20" t="str">
        <x:v>#6 Scope boundary</x:v>
      </x:c>
      <x:c r="B9" s="20" t="str">
        <x:v>Considered minimum cash reserve after closing.</x:v>
      </x:c>
      <x:c r="C9" s="20" t="str">
        <x:v>Reserve level is a personal financial-planning decision outside the app's main comparison purpose.</x:v>
      </x:c>
      <x:c r="D9" s="20" t="str">
        <x:v>Do not include minimum reserve in V1.</x:v>
      </x:c>
      <x:c r="E9" s="20" t="str">
        <x:v>Keeps HomeScore focused on comparing home fit rather than managing the buyer's financial life.</x:v>
      </x:c>
    </x:row>
    <x:row r="10" ht="58" customHeight="1">
      <x:c r="A10" s="20" t="str">
        <x:v>#7 Financing defaults</x:v>
      </x:c>
      <x:c r="B10" s="20" t="str">
        <x:v>Interest rate and loan term were shown as regular buyer inputs.</x:v>
      </x:c>
      <x:c r="C10" s="20" t="str">
        <x:v>They add friction even though they are calculation assumptions, not core buyer preferences.</x:v>
      </x:c>
      <x:c r="D10" s="20" t="str">
        <x:v>Use 6.25% interest and 30-year term as prototype defaults; expose changes only in Advanced Financing Settings.</x:v>
      </x:c>
      <x:c r="E10" s="20" t="str">
        <x:v>Simplifies the standard UX while preserving flexibility for users who want to model a different financing scenario.</x:v>
      </x:c>
    </x:row>
    <x:row r="11" ht="26.399999618530273" hidden="0" customHeight="1">
      <x:c r="A11" s="20" t="str">
        <x:v>#8 Progressive personalization</x:v>
      </x:c>
      <x:c r="B11" s="20" t="str">
        <x:v>A fully customized questionnaire could ask many questions before showing value.</x:v>
      </x:c>
      <x:c r="C11" s="20" t="str">
        <x:v>Too much upfront configuration can create friction before the user understands HomeScore.</x:v>
      </x:c>
      <x:c r="D11" s="20" t="str">
        <x:v>Keep V1 simple; ask only necessary standard inputs, then expose deeper customization after initial results.</x:v>
      </x:c>
      <x:c r="E11" s="20" t="str">
        <x:v>Gets users to a useful score quickly while preserving advanced personalization.</x:v>
      </x:c>
    </x:row>
    <x:row r="12" ht="39.599998474121094" hidden="0" customHeight="1">
      <x:c r="A12" s="20" t="str">
        <x:v>#9 Location &amp; Lifestyle V1</x:v>
      </x:c>
      <x:c r="B12" s="20" t="str">
        <x:v>School, Safety and Commute could be equally weighted or fully customized upfront.</x:v>
      </x:c>
      <x:c r="C12" s="20" t="str">
        <x:v>Equal weights are hidden assumptions; multiple commute destinations add complexity.</x:v>
      </x:c>
      <x:c r="D12" s="20" t="str">
        <x:v>Use 0–5 importance for School, Safety and Commute; normalize internally. Use one primary commute destination in V1. Skip follow-ups when importance is 0.</x:v>
      </x:c>
      <x:c r="E12" s="20" t="str">
        <x:v>Keeps weighting user-driven and commute UX simple; advanced mode can later support multiple destinations.</x:v>
      </x:c>
    </x:row>
    <x:row r="13" ht="39.599998474121094" hidden="0" customHeight="1">
      <x:c r="A13" s="20" t="str">
        <x:v>#13 Investment Potential — Research / Experimental</x:v>
      </x:c>
      <x:c r="B13" s="20" t="str">
        <x:v>Original prototype included Appreciation Potential as a scored criterion.</x:v>
      </x:c>
      <x:c r="C13" s="20" t="str">
        <x:v>A subjective 1–10 score would imply an unsupported prediction of future home appreciation.</x:v>
      </x:c>
      <x:c r="D13" s="20" t="str">
        <x:v>Rename as Investment Potential and exclude it from active V1 scoring until measurable inputs, reliable data sources, and validation methodology are established.</x:v>
      </x:c>
      <x:c r="E13" s="20" t="str">
        <x:v>Prevents false precision while preserving a clear research path for a future data-driven layer.</x:v>
      </x:c>
      <x:c r="F13" s="20" t="str">
        <x:v>Avoids false precision; reconsider later only with a defensible data/inspection methodology.</x:v>
      </x:c>
    </x:row>
    <x:row r="14" ht="26.399999618530273" hidden="0" customHeight="1">
      <x:c r="A14" s="20" t="str">
        <x:v>#14 Hierarchical overall HomeScore</x:v>
      </x:c>
      <x:c r="B14" s="20" t="str">
        <x:v>The model now has three designed dimensions: Affordability, Location &amp; Lifestyle, and Property.</x:v>
      </x:c>
      <x:c r="C14" s="20" t="str">
        <x:v>Equal dimension weights would be another hidden designer assumption.</x:v>
      </x:c>
      <x:c r="D14" s="20" t="str">
        <x:v>Ask the buyer to rate each dimension 0–5, normalize those three values, and combine the three Fit scores into the final HomeScore.</x:v>
      </x:c>
      <x:c r="E14" s="20" t="str">
        <x:v>Creates a coherent hierarchy: overall priorities → criteria importance → buyer targets/preferences.</x:v>
      </x:c>
      <x:c r="F14" s="20" t="str">
        <x:v>Makes Amenities Fit personalized, transparent, and testable.</x:v>
      </x:c>
    </x:row>
    <x:row r="15" ht="26.399999618530273" hidden="0" customHeight="1">
      <x:c r="A15" s="20" t="str">
        <x:v>#15 Freeze features and stress-test V1</x:v>
      </x:c>
      <x:c r="B15" s="20" t="str">
        <x:v>V5 produced the first complete HomeScore across Affordability, Location, and Property.</x:v>
      </x:c>
      <x:c r="C15" s="20" t="str">
        <x:v>Adding functionality before testing could hide structural weaknesses in weighting, compensation, hard constraints, and ranking behavior.</x:v>
      </x:c>
      <x:c r="D15" s="20" t="str">
        <x:v>Freeze V5 methodology. Test 7 deliberately different houses against 4 buyer profiles (28 scenarios) before changing scoring logic.</x:v>
      </x:c>
      <x:c r="E15" s="20" t="str">
        <x:v>Creates evidence for future algorithm changes and helps distinguish real model failures from intuition.</x:v>
      </x:c>
      <x:c r="F15" s="20" t="str">
        <x:v>Measures whether the home provides the buyer's desired space without rewarding unnecessary size indefinitely.</x:v>
      </x:c>
    </x:row>
    <x:row r="16">
      <x:c r="A16" t="str">
        <x:v>#16 Conditional preference inputs</x:v>
      </x:c>
      <x:c r="B16" t="str">
        <x:v>The spreadsheet displayed overall and detailed preference questions together.</x:v>
      </x:c>
      <x:c r="C16" t="str">
        <x:v>A valid hierarchical model can feel unnecessarily heavy when all questions appear at once.</x:v>
      </x:c>
      <x:c r="D16" t="str">
        <x:v>In the app, ask top-level importance first and dynamically reveal detailed questions only when importance &gt; 0.</x:v>
      </x:c>
      <x:c r="E16" t="str">
        <x:v>Reduces points of entry while preserving the same weighting hierarchy.</x:v>
      </x:c>
      <x:c r="F16"/>
    </x:row>
    <x:row r="17">
      <x:c r="A17" t="str">
        <x:v>#17 School &amp; Safety — one minimum threshold</x:v>
      </x:c>
      <x:c r="B17" t="str">
        <x:v>V6 asked both target and minimum for School and Safety.</x:v>
      </x:c>
      <x:c r="C17" t="str">
        <x:v>Two thresholds add friction; the actual 1–10 rating already preserves the difference between acceptable and excellent quality.</x:v>
      </x:c>
      <x:c r="D17" t="str">
        <x:v>Ask only Minimum School Quality and Minimum Safety Score. Use actual rating ×10 as Fit; flag values below the buyer minimum separately.</x:v>
      </x:c>
      <x:c r="E17" t="str">
        <x:v>Separates quality from acceptability and removes two unnecessary user inputs.</x:v>
      </x:c>
      <x:c r="F17"/>
    </x:row>
    <x:row r="18">
      <x:c r="A18" t="str">
        <x:v>#18 Commute — one maximum threshold</x:v>
      </x:c>
      <x:c r="B18" t="str">
        <x:v>V6 asked Target Commute + Maximum Commute and scored linearly between them.</x:v>
      </x:c>
      <x:c r="C18" t="str">
        <x:v>A target adds friction, but using zero at the maximum makes an acceptable limit look worthless.</x:v>
      </x:c>
      <x:c r="D18" t="str">
        <x:v>Ask only Maximum Commute. Use Commute Fit = MAX(0,100-50×Actual/Maximum). At maximum Fit=50; above maximum is a separate constraint violation.</x:v>
      </x:c>
      <x:c r="E18" t="str">
        <x:v>Uses one buyer input, rewards shorter commutes, remains stable across candidate sets, and is easy to explain.</x:v>
      </x:c>
      <x:c r="F18"/>
    </x:row>
    <x:row r="19">
      <x:c r="A19" t="str">
        <x:v>#19 Location V7 simplification</x:v>
      </x:c>
      <x:c r="B19" t="str">
        <x:v>V6 Location used six preference/threshold questions after the three importance ratings.</x:v>
      </x:c>
      <x:c r="C19" t="str">
        <x:v>Review showed School, Safety and Commute can each be represented with one meaningful threshold.</x:v>
      </x:c>
      <x:c r="D19" t="str">
        <x:v>Standard Location UX becomes: School Importance + Minimum School; Safety Importance + Minimum Safety; Commute Importance + Maximum Commute.</x:v>
      </x:c>
      <x:c r="E19" t="str">
        <x:v>Cuts threshold questions from six to three while retaining personalization, scoring detail, and explicit constraints.</x:v>
      </x:c>
      <x:c r="F19"/>
    </x:row>
    <x:row r="20">
      <x:c r="A20" s="20" t="str">
        <x:v>#20 Constraint-aware recommendation architecture</x:v>
      </x:c>
      <x:c r="B20" s="20" t="str">
        <x:v>Stress tests showed that a high aggregate HomeScore can coexist with buyer threshold violations.</x:v>
      </x:c>
      <x:c r="C20" s="20" t="str">
        <x:v>Arbitrary penalty points would mix fit with acceptability and make the score harder to explain.</x:v>
      </x:c>
      <x:c r="D20" s="20" t="str">
        <x:v>Keep HomeScore unmodified. Show homes meeting all stated thresholds first; show homes with exceptions second. Rank each group by HomeScore and explain every exception.</x:v>
      </x:c>
      <x:c r="E20" s="20" t="str">
        <x:v>Preserves score transparency while respecting buyer-stated limits and still allowing exceptional alternatives to remain visible.</x:v>
      </x:c>
      <x:c r="F20" s="20"/>
    </x:row>
    <x:row r="21">
      <x:c r="A21" s="20" t="str">
        <x:v>#21 Freeze Model V1 for Prototype 1</x:v>
      </x:c>
      <x:c r="B21" s="20" t="str">
        <x:v>Affordability, Location, Property, hierarchical weighting, simplified Location inputs, Commute Model A, and constraint handling have been reviewed and stress-tested.</x:v>
      </x:c>
      <x:c r="C21" s="20" t="str">
        <x:v>Remaining questions are increasingly UX and user-language questions rather than core spreadsheet-model questions.</x:v>
      </x:c>
      <x:c r="D21" s="20" t="str">
        <x:v>Freeze this workbook as the Prototype 1 reference model. Build the playable prototype next and use real-user feedback to drive later revisions.</x:v>
      </x:c>
      <x:c r="E21" s="20" t="str">
        <x:v>Creates a stable baseline for implementation, testing, mentor review, and competition documentation.</x:v>
      </x:c>
      <x:c r="F21" s="20"/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2" hidden="0" customWidth="1"/>
    <x:col min="10" max="10" width="36" hidden="0" customWidth="1"/>
  </x:cols>
  <x:sheetData>
    <x:row r="1">
      <x:c r="A1" s="75" t="str">
        <x:v>HomeScore V7 — Location &amp; Lifestyle Lab</x:v>
      </x:c>
      <x:c r="B1" s="75"/>
      <x:c r="C1" s="75"/>
      <x:c r="D1" s="75"/>
      <x:c r="E1" s="75"/>
      <x:c r="F1" s="75"/>
      <x:c r="G1" s="75"/>
      <x:c r="H1" s="75"/>
      <x:c r="I1" s="75"/>
      <x:c r="J1" s="75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76" t="str">
        <x:v>House</x:v>
      </x:c>
      <x:c r="B3" s="76" t="str">
        <x:v>School Rating</x:v>
      </x:c>
      <x:c r="C3" s="76" t="str">
        <x:v>Safety Score</x:v>
      </x:c>
      <x:c r="D3" s="76" t="str">
        <x:v>Commute (min)</x:v>
      </x:c>
      <x:c r="E3" s="76" t="str">
        <x:v>School Fit</x:v>
      </x:c>
      <x:c r="F3" s="76" t="str">
        <x:v>Safety Fit</x:v>
      </x:c>
      <x:c r="G3" s="76" t="str">
        <x:v>Commute Fit</x:v>
      </x:c>
      <x:c r="H3" s="76" t="str">
        <x:v>Location Fit</x:v>
      </x:c>
      <x:c r="I3" s="76" t="str">
        <x:v>Warnings</x:v>
      </x:c>
      <x:c r="J3" s="76" t="str">
        <x:v>Notes</x:v>
      </x:c>
    </x:row>
    <x:row r="4">
      <x:c r="A4" s="20" t="str">
        <x:v>House A</x:v>
      </x:c>
      <x:c r="B4" s="73" t="n">
        <x:v>9</x:v>
      </x:c>
      <x:c r="C4" s="73" t="n">
        <x:v>9</x:v>
      </x:c>
      <x:c r="D4" s="73" t="n">
        <x:v>18</x:v>
      </x:c>
      <x:c r="E4" s="77" t="n">
        <x:f>MAX(0,MIN(100,B4*10))</x:f>
        <x:v>90</x:v>
      </x:c>
      <x:c r="F4" s="77" t="n">
        <x:f>MAX(0,MIN(100,C4*10))</x:f>
        <x:v>90</x:v>
      </x:c>
      <x:c r="G4" s="77" t="n">
        <x:f>IF('Buyer - Model 2'!$B$34&lt;=0,0,MAX(0,100-50*D4/'Buyer - Model 2'!$B$34))</x:f>
        <x:v>80</x:v>
      </x:c>
      <x:c r="H4" s="77" t="n">
        <x:f>E4*'Buyer - Model 2'!$B$37+F4*'Buyer - Model 2'!$B$38+G4*'Buyer - Model 2'!$B$39</x:f>
        <x:v>88.18181818181817</x:v>
      </x:c>
      <x:c r="I4" s="78"/>
      <x:c r="J4" s="20" t="str">
        <x:v>V7: actual school/safety quality preserved; commute scored against buyer maximum.</x:v>
      </x:c>
    </x:row>
    <x:row r="5">
      <x:c r="A5" s="20" t="str">
        <x:v>House B</x:v>
      </x:c>
      <x:c r="B5" s="73" t="n">
        <x:v>8</x:v>
      </x:c>
      <x:c r="C5" s="73" t="n">
        <x:v>9</x:v>
      </x:c>
      <x:c r="D5" s="73" t="n">
        <x:v>25</x:v>
      </x:c>
      <x:c r="E5" s="77" t="n">
        <x:f>MAX(0,MIN(100,B5*10))</x:f>
        <x:v>80</x:v>
      </x:c>
      <x:c r="F5" s="77" t="n">
        <x:f>MAX(0,MIN(100,C5*10))</x:f>
        <x:v>90</x:v>
      </x:c>
      <x:c r="G5" s="77" t="n">
        <x:f>IF('Buyer - Model 2'!$B$34&lt;=0,0,MAX(0,100-50*D5/'Buyer - Model 2'!$B$34))</x:f>
        <x:v>72.22222222222223</x:v>
      </x:c>
      <x:c r="H5" s="77" t="n">
        <x:f>E5*'Buyer - Model 2'!$B$37+F5*'Buyer - Model 2'!$B$38+G5*'Buyer - Model 2'!$B$39</x:f>
        <x:v>82.22222222222223</x:v>
      </x:c>
      <x:c r="I5" s="78"/>
      <x:c r="J5" s="20" t="str">
        <x:v>V7 simplified Location inputs.</x:v>
      </x:c>
    </x:row>
    <x:row r="6">
      <x:c r="A6" s="20" t="str">
        <x:v>House C</x:v>
      </x:c>
      <x:c r="B6" s="73" t="n">
        <x:v>7</x:v>
      </x:c>
      <x:c r="C6" s="73" t="n">
        <x:v>8</x:v>
      </x:c>
      <x:c r="D6" s="73" t="n">
        <x:v>35</x:v>
      </x:c>
      <x:c r="E6" s="77" t="n">
        <x:f>MAX(0,MIN(100,B6*10))</x:f>
        <x:v>70</x:v>
      </x:c>
      <x:c r="F6" s="77" t="n">
        <x:f>MAX(0,MIN(100,C6*10))</x:f>
        <x:v>80</x:v>
      </x:c>
      <x:c r="G6" s="77" t="n">
        <x:f>IF('Buyer - Model 2'!$B$34&lt;=0,0,MAX(0,100-50*D6/'Buyer - Model 2'!$B$34))</x:f>
        <x:v>61.111111111111114</x:v>
      </x:c>
      <x:c r="H6" s="77" t="n">
        <x:f>E6*'Buyer - Model 2'!$B$37+F6*'Buyer - Model 2'!$B$38+G6*'Buyer - Model 2'!$B$39</x:f>
        <x:v>72.02020202020202</x:v>
      </x:c>
      <x:c r="I6" s="78"/>
      <x:c r="J6" s="20" t="str">
        <x:v>V7 simplified Location inputs.</x:v>
      </x:c>
    </x:row>
    <x:row r="7">
      <x:c r="A7" s="20" t="str">
        <x:v>House D</x:v>
      </x:c>
      <x:c r="B7" s="73" t="n">
        <x:v>6</x:v>
      </x:c>
      <x:c r="C7" s="73" t="n">
        <x:v>7</x:v>
      </x:c>
      <x:c r="D7" s="73" t="n">
        <x:v>50</x:v>
      </x:c>
      <x:c r="E7" s="77" t="n">
        <x:f>MAX(0,MIN(100,B7*10))</x:f>
        <x:v>60</x:v>
      </x:c>
      <x:c r="F7" s="77" t="n">
        <x:f>MAX(0,MIN(100,C7*10))</x:f>
        <x:v>70</x:v>
      </x:c>
      <x:c r="G7" s="77" t="n">
        <x:f>IF('Buyer - Model 2'!$B$34&lt;=0,0,MAX(0,100-50*D7/'Buyer - Model 2'!$B$34))</x:f>
        <x:v>44.44444444444444</x:v>
      </x:c>
      <x:c r="H7" s="77" t="n">
        <x:f>E7*'Buyer - Model 2'!$B$37+F7*'Buyer - Model 2'!$B$38+G7*'Buyer - Model 2'!$B$39</x:f>
        <x:v>60.80808080808082</x:v>
      </x:c>
      <x:c r="I7" s="78" t="str">
        <x:v>Exceeds maximum commute</x:v>
      </x:c>
      <x:c r="J7" s="20" t="str">
        <x:v>Commute exceeds buyer maximum; numerical fit is retained separately from constraint status.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</x:row>
    <x:row r="9">
      <x:c r="A9" s="20" t="str">
        <x:v>V7 note: School and Safety fit use the actual illustrative 1–10 ratings ×10; minimums are constraints. Commute uses MAX(0,100-50×Actual/Maximum), with 50 at the buyer maximum and a separate violation above it.</x:v>
      </x:c>
      <x:c r="B9" s="20"/>
      <x:c r="C9" s="20"/>
      <x:c r="D9" s="20"/>
      <x:c r="E9" s="20"/>
      <x:c r="F9" s="20"/>
      <x:c r="G9" s="20"/>
      <x:c r="H9" s="20"/>
      <x:c r="I9" s="20"/>
      <x:c r="J9" s="20"/>
    </x:row>
  </x:sheetData>
  <x:mergeCells>
    <x:mergeCell ref="A1:J1"/>
    <x:mergeCell ref="A9:J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  <x:col min="17" max="17" width="14" hidden="0" customWidth="1"/>
    <x:col min="18" max="18" width="13" hidden="0" customWidth="1"/>
    <x:col min="19" max="19" width="13" hidden="0" customWidth="1"/>
    <x:col min="20" max="20" width="26" hidden="0" customWidth="1"/>
    <x:col min="21" max="21" width="26" hidden="0" customWidth="1"/>
    <x:col min="22" max="22" width="26" hidden="0" customWidth="1"/>
    <x:col min="23" max="23" width="38" hidden="0" customWidth="1"/>
  </x:cols>
  <x:sheetData>
    <x:row r="1">
      <x:c r="A1" s="88" t="str">
        <x:v>HomeScore Model 2 — Property Lab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</x:row>
    <x:row r="2">
      <x:c r="A2" s="20" t="str">
        <x:v>V1 Property Fit combines buyer-specific Size Fit and Amenities Fit. Condition is intentionally excluded because a generic condition rating is too subjective.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</x:row>
    <x:row r="4" ht="39.599998474121094" hidden="0" customHeight="1">
      <x:c r="A4" s="90" t="str">
        <x:v>House</x:v>
      </x:c>
      <x:c r="B4" s="90" t="str">
        <x:v>Sq Ft</x:v>
      </x:c>
      <x:c r="C4" s="90" t="str">
        <x:v>Garage</x:v>
      </x:c>
      <x:c r="D4" s="90" t="str">
        <x:v>Pool</x:v>
      </x:c>
      <x:c r="E4" s="90" t="str">
        <x:v>Large Yard</x:v>
      </x:c>
      <x:c r="F4" s="90" t="str">
        <x:v>Home Office</x:v>
      </x:c>
      <x:c r="G4" s="90" t="str">
        <x:v>Updated Kitchen</x:v>
      </x:c>
      <x:c r="H4" s="90" t="str">
        <x:v>1st-floor Primary</x:v>
      </x:c>
      <x:c r="I4" s="90" t="str">
        <x:v>Size Fit</x:v>
      </x:c>
      <x:c r="J4" s="90" t="str">
        <x:v>Garage Pts</x:v>
      </x:c>
      <x:c r="K4" s="90" t="str">
        <x:v>Pool Pts</x:v>
      </x:c>
      <x:c r="L4" s="90" t="str">
        <x:v>Yard Pts</x:v>
      </x:c>
      <x:c r="M4" s="90" t="str">
        <x:v>Office Pts</x:v>
      </x:c>
      <x:c r="N4" s="90" t="str">
        <x:v>Kitchen Pts</x:v>
      </x:c>
      <x:c r="O4" s="90" t="str">
        <x:v>Primary Pts</x:v>
      </x:c>
      <x:c r="P4" s="90" t="str">
        <x:v>Earned Amenity Pts</x:v>
      </x:c>
      <x:c r="Q4" s="90" t="str">
        <x:v>Desired Amenity Pts</x:v>
      </x:c>
      <x:c r="R4" s="90" t="str">
        <x:v>Amenities Fit</x:v>
      </x:c>
      <x:c r="S4" s="90" t="str">
        <x:v>Property Fit</x:v>
      </x:c>
      <x:c r="T4" s="90" t="str">
        <x:v>Size Warning</x:v>
      </x:c>
      <x:c r="U4" s="90" t="str">
        <x:v>Must-Have Warning</x:v>
      </x:c>
      <x:c r="V4" s="90" t="str">
        <x:v>Review</x:v>
      </x:c>
      <x:c r="W4" s="90" t="str">
        <x:v>Notes</x:v>
      </x:c>
    </x:row>
    <x:row r="5" ht="105.5999984741211" hidden="0" customHeight="1">
      <x:c r="A5" s="20" t="str">
        <x:v>House A</x:v>
      </x:c>
      <x:c r="B5" s="20" t="n">
        <x:v>2400</x:v>
      </x:c>
      <x:c r="C5" s="20" t="str">
        <x:v>Yes</x:v>
      </x:c>
      <x:c r="D5" s="20" t="str">
        <x:v>No</x:v>
      </x:c>
      <x:c r="E5" s="20" t="str">
        <x:v>Yes</x:v>
      </x:c>
      <x:c r="F5" s="20" t="str">
        <x:v>Yes</x:v>
      </x:c>
      <x:c r="G5" s="20" t="str">
        <x:v>No</x:v>
      </x:c>
      <x:c r="H5" s="20" t="str">
        <x:v>No</x:v>
      </x:c>
      <x:c r="I5" s="91" t="n">
        <x:f>IF(B5&lt;='Buyer - Model 2'!$B$47,0,IF(B5&gt;='Buyer - Model 2'!$B$48,100,100*(B5-'Buyer - Model 2'!$B$47)/('Buyer - Model 2'!$B$48-'Buyer - Model 2'!$B$47)))</x:f>
        <x:v>85.71428571428571</x:v>
      </x:c>
      <x:c r="J5" s="91" t="n">
        <x:f>IF(C5="Yes",IF('Buyer - Model 2'!$B$49="Must Have",2,IF('Buyer - Model 2'!$B$49="Nice to Have",1,0)),0)</x:f>
        <x:v>2</x:v>
      </x:c>
      <x:c r="K5" s="91" t="n">
        <x:f>IF(D5="Yes",IF('Buyer - Model 2'!$B$50="Must Have",2,IF('Buyer - Model 2'!$B$50="Nice to Have",1,0)),0)</x:f>
        <x:v>0</x:v>
      </x:c>
      <x:c r="L5" s="91" t="n">
        <x:f>IF(E5="Yes",IF('Buyer - Model 2'!$B$51="Must Have",2,IF('Buyer - Model 2'!$B$51="Nice to Have",1,0)),0)</x:f>
        <x:v>1</x:v>
      </x:c>
      <x:c r="M5" s="91" t="n">
        <x:f>IF(F5="Yes",IF('Buyer - Model 2'!$B$52="Must Have",2,IF('Buyer - Model 2'!$B$52="Nice to Have",1,0)),0)</x:f>
        <x:v>2</x:v>
      </x:c>
      <x:c r="N5" s="91" t="n">
        <x:f>IF(G5="Yes",IF('Buyer - Model 2'!$B$53="Must Have",2,IF('Buyer - Model 2'!$B$53="Nice to Have",1,0)),0)</x:f>
        <x:v>0</x:v>
      </x:c>
      <x:c r="O5" s="91" t="n">
        <x:f>IF(H5="Yes",IF('Buyer - Model 2'!$B$54="Must Have",2,IF('Buyer - Model 2'!$B$54="Nice to Have",1,0)),0)</x:f>
        <x:v>0</x:v>
      </x:c>
      <x:c r="P5" s="91" t="n">
        <x:f>SUM(J5:O5)</x:f>
        <x:v>5</x:v>
      </x:c>
      <x:c r="Q5" s="91" t="n">
        <x:f>IF('Buyer - Model 2'!$B$49="Must Have",2,IF('Buyer - Model 2'!$B$49="Nice to Have",1,0))+IF('Buyer - Model 2'!$B$50="Must Have",2,IF('Buyer - Model 2'!$B$50="Nice to Have",1,0))+IF('Buyer - Model 2'!$B$51="Must Have",2,IF('Buyer - Model 2'!$B$51="Nice to Have",1,0))+IF('Buyer - Model 2'!$B$52="Must Have",2,IF('Buyer - Model 2'!$B$52="Nice to Have",1,0))+IF('Buyer - Model 2'!$B$53="Must Have",2,IF('Buyer - Model 2'!$B$53="Nice to Have",1,0))+IF('Buyer - Model 2'!$B$54="Must Have",2,IF('Buyer - Model 2'!$B$54="Nice to Have",1,0))</x:f>
        <x:v>6</x:v>
      </x:c>
      <x:c r="R5" s="91" t="n">
        <x:f>IF(Q5=0,100,100*P5/Q5)</x:f>
        <x:v>83.33333333333333</x:v>
      </x:c>
      <x:c r="S5" s="91" t="n">
        <x:f>I5*'Buyer - Model 2'!$B$55+R5*'Buyer - Model 2'!$B$56</x:f>
        <x:v>84.52380952380952</x:v>
      </x:c>
      <x:c r="T5" s="20" t="str"/>
      <x:c r="U5" s="20" t="str"/>
      <x:c r="V5" s="20" t="str"/>
      <x:c r="W5" s="20" t="str">
        <x:v>Near target size; misses only a nice-to-have kitchen.</x:v>
      </x:c>
    </x:row>
    <x:row r="6" ht="79.19999694824219" hidden="0" customHeight="1">
      <x:c r="A6" s="20" t="str">
        <x:v>House B</x:v>
      </x:c>
      <x:c r="B6" s="20" t="n">
        <x:v>2700</x:v>
      </x:c>
      <x:c r="C6" s="20" t="str">
        <x:v>Yes</x:v>
      </x:c>
      <x:c r="D6" s="20" t="str">
        <x:v>Yes</x:v>
      </x:c>
      <x:c r="E6" s="20" t="str">
        <x:v>No</x:v>
      </x:c>
      <x:c r="F6" s="20" t="str">
        <x:v>Yes</x:v>
      </x:c>
      <x:c r="G6" s="20" t="str">
        <x:v>Yes</x:v>
      </x:c>
      <x:c r="H6" s="20" t="str">
        <x:v>No</x:v>
      </x:c>
      <x:c r="I6" s="91" t="n">
        <x:f>IF(B6&lt;='Buyer - Model 2'!$B$47,0,IF(B6&gt;='Buyer - Model 2'!$B$48,100,100*(B6-'Buyer - Model 2'!$B$47)/('Buyer - Model 2'!$B$48-'Buyer - Model 2'!$B$47)))</x:f>
        <x:v>100</x:v>
      </x:c>
      <x:c r="J6" s="91" t="n">
        <x:f>IF(C6="Yes",IF('Buyer - Model 2'!$B$49="Must Have",2,IF('Buyer - Model 2'!$B$49="Nice to Have",1,0)),0)</x:f>
        <x:v>2</x:v>
      </x:c>
      <x:c r="K6" s="91" t="n">
        <x:f>IF(D6="Yes",IF('Buyer - Model 2'!$B$50="Must Have",2,IF('Buyer - Model 2'!$B$50="Nice to Have",1,0)),0)</x:f>
        <x:v>0</x:v>
      </x:c>
      <x:c r="L6" s="91" t="n">
        <x:f>IF(E6="Yes",IF('Buyer - Model 2'!$B$51="Must Have",2,IF('Buyer - Model 2'!$B$51="Nice to Have",1,0)),0)</x:f>
        <x:v>0</x:v>
      </x:c>
      <x:c r="M6" s="91" t="n">
        <x:f>IF(F6="Yes",IF('Buyer - Model 2'!$B$52="Must Have",2,IF('Buyer - Model 2'!$B$52="Nice to Have",1,0)),0)</x:f>
        <x:v>2</x:v>
      </x:c>
      <x:c r="N6" s="91" t="n">
        <x:f>IF(G6="Yes",IF('Buyer - Model 2'!$B$53="Must Have",2,IF('Buyer - Model 2'!$B$53="Nice to Have",1,0)),0)</x:f>
        <x:v>1</x:v>
      </x:c>
      <x:c r="O6" s="91" t="n">
        <x:f>IF(H6="Yes",IF('Buyer - Model 2'!$B$54="Must Have",2,IF('Buyer - Model 2'!$B$54="Nice to Have",1,0)),0)</x:f>
        <x:v>0</x:v>
      </x:c>
      <x:c r="P6" s="91" t="n">
        <x:f>SUM(J6:O6)</x:f>
        <x:v>5</x:v>
      </x:c>
      <x:c r="Q6" s="91" t="n">
        <x:f>IF('Buyer - Model 2'!$B$49="Must Have",2,IF('Buyer - Model 2'!$B$49="Nice to Have",1,0))+IF('Buyer - Model 2'!$B$50="Must Have",2,IF('Buyer - Model 2'!$B$50="Nice to Have",1,0))+IF('Buyer - Model 2'!$B$51="Must Have",2,IF('Buyer - Model 2'!$B$51="Nice to Have",1,0))+IF('Buyer - Model 2'!$B$52="Must Have",2,IF('Buyer - Model 2'!$B$52="Nice to Have",1,0))+IF('Buyer - Model 2'!$B$53="Must Have",2,IF('Buyer - Model 2'!$B$53="Nice to Have",1,0))+IF('Buyer - Model 2'!$B$54="Must Have",2,IF('Buyer - Model 2'!$B$54="Nice to Have",1,0))</x:f>
        <x:v>6</x:v>
      </x:c>
      <x:c r="R6" s="91" t="n">
        <x:f>IF(Q6=0,100,100*P6/Q6)</x:f>
        <x:v>83.33333333333333</x:v>
      </x:c>
      <x:c r="S6" s="91" t="n">
        <x:f>I6*'Buyer - Model 2'!$B$55+R6*'Buyer - Model 2'!$B$56</x:f>
        <x:v>91.66666666666666</x:v>
      </x:c>
      <x:c r="T6" s="20" t="str"/>
      <x:c r="U6" s="20" t="str"/>
      <x:c r="V6" s="20" t="str"/>
      <x:c r="W6" s="20" t="str">
        <x:v>Exceeds size target; strong amenity match.</x:v>
      </x:c>
    </x:row>
    <x:row r="7" ht="79.19999694824219" hidden="0" customHeight="1">
      <x:c r="A7" s="20" t="str">
        <x:v>House C</x:v>
      </x:c>
      <x:c r="B7" s="20" t="n">
        <x:v>2100</x:v>
      </x:c>
      <x:c r="C7" s="20" t="str">
        <x:v>Yes</x:v>
      </x:c>
      <x:c r="D7" s="20" t="str">
        <x:v>No</x:v>
      </x:c>
      <x:c r="E7" s="20" t="str">
        <x:v>Yes</x:v>
      </x:c>
      <x:c r="F7" s="20" t="str">
        <x:v>No</x:v>
      </x:c>
      <x:c r="G7" s="20" t="str">
        <x:v>Yes</x:v>
      </x:c>
      <x:c r="H7" s="20" t="str">
        <x:v>No</x:v>
      </x:c>
      <x:c r="I7" s="91" t="n">
        <x:f>IF(B7&lt;='Buyer - Model 2'!$B$47,0,IF(B7&gt;='Buyer - Model 2'!$B$48,100,100*(B7-'Buyer - Model 2'!$B$47)/('Buyer - Model 2'!$B$48-'Buyer - Model 2'!$B$47)))</x:f>
        <x:v>42.857142857142854</x:v>
      </x:c>
      <x:c r="J7" s="91" t="n">
        <x:f>IF(C7="Yes",IF('Buyer - Model 2'!$B$49="Must Have",2,IF('Buyer - Model 2'!$B$49="Nice to Have",1,0)),0)</x:f>
        <x:v>2</x:v>
      </x:c>
      <x:c r="K7" s="91" t="n">
        <x:f>IF(D7="Yes",IF('Buyer - Model 2'!$B$50="Must Have",2,IF('Buyer - Model 2'!$B$50="Nice to Have",1,0)),0)</x:f>
        <x:v>0</x:v>
      </x:c>
      <x:c r="L7" s="91" t="n">
        <x:f>IF(E7="Yes",IF('Buyer - Model 2'!$B$51="Must Have",2,IF('Buyer - Model 2'!$B$51="Nice to Have",1,0)),0)</x:f>
        <x:v>1</x:v>
      </x:c>
      <x:c r="M7" s="91" t="n">
        <x:f>IF(F7="Yes",IF('Buyer - Model 2'!$B$52="Must Have",2,IF('Buyer - Model 2'!$B$52="Nice to Have",1,0)),0)</x:f>
        <x:v>0</x:v>
      </x:c>
      <x:c r="N7" s="91" t="n">
        <x:f>IF(G7="Yes",IF('Buyer - Model 2'!$B$53="Must Have",2,IF('Buyer - Model 2'!$B$53="Nice to Have",1,0)),0)</x:f>
        <x:v>1</x:v>
      </x:c>
      <x:c r="O7" s="91" t="n">
        <x:f>IF(H7="Yes",IF('Buyer - Model 2'!$B$54="Must Have",2,IF('Buyer - Model 2'!$B$54="Nice to Have",1,0)),0)</x:f>
        <x:v>0</x:v>
      </x:c>
      <x:c r="P7" s="91" t="n">
        <x:f>SUM(J7:O7)</x:f>
        <x:v>4</x:v>
      </x:c>
      <x:c r="Q7" s="91" t="n">
        <x:f>IF('Buyer - Model 2'!$B$49="Must Have",2,IF('Buyer - Model 2'!$B$49="Nice to Have",1,0))+IF('Buyer - Model 2'!$B$50="Must Have",2,IF('Buyer - Model 2'!$B$50="Nice to Have",1,0))+IF('Buyer - Model 2'!$B$51="Must Have",2,IF('Buyer - Model 2'!$B$51="Nice to Have",1,0))+IF('Buyer - Model 2'!$B$52="Must Have",2,IF('Buyer - Model 2'!$B$52="Nice to Have",1,0))+IF('Buyer - Model 2'!$B$53="Must Have",2,IF('Buyer - Model 2'!$B$53="Nice to Have",1,0))+IF('Buyer - Model 2'!$B$54="Must Have",2,IF('Buyer - Model 2'!$B$54="Nice to Have",1,0))</x:f>
        <x:v>6</x:v>
      </x:c>
      <x:c r="R7" s="91" t="n">
        <x:f>IF(Q7=0,100,100*P7/Q7)</x:f>
        <x:v>66.66666666666667</x:v>
      </x:c>
      <x:c r="S7" s="91" t="n">
        <x:f>I7*'Buyer - Model 2'!$B$55+R7*'Buyer - Model 2'!$B$56</x:f>
        <x:v>54.76190476190476</x:v>
      </x:c>
      <x:c r="T7" s="20" t="str"/>
      <x:c r="U7" s="20" t="str">
        <x:v>Missing Must Have: Home Office</x:v>
      </x:c>
      <x:c r="V7" s="20" t="str">
        <x:v>Review must-have mismatch</x:v>
      </x:c>
      <x:c r="W7" s="20" t="str">
        <x:v>Smaller and missing must-have home office.</x:v>
      </x:c>
    </x:row>
    <x:row r="8" ht="79.19999694824219" hidden="0" customHeight="1">
      <x:c r="A8" s="20" t="str">
        <x:v>House D</x:v>
      </x:c>
      <x:c r="B8" s="20" t="n">
        <x:v>1650</x:v>
      </x:c>
      <x:c r="C8" s="20" t="str">
        <x:v>No</x:v>
      </x:c>
      <x:c r="D8" s="20" t="str">
        <x:v>Yes</x:v>
      </x:c>
      <x:c r="E8" s="20" t="str">
        <x:v>Yes</x:v>
      </x:c>
      <x:c r="F8" s="20" t="str">
        <x:v>Yes</x:v>
      </x:c>
      <x:c r="G8" s="20" t="str">
        <x:v>Yes</x:v>
      </x:c>
      <x:c r="H8" s="20" t="str">
        <x:v>No</x:v>
      </x:c>
      <x:c r="I8" s="91" t="n">
        <x:f>IF(B8&lt;='Buyer - Model 2'!$B$47,0,IF(B8&gt;='Buyer - Model 2'!$B$48,100,100*(B8-'Buyer - Model 2'!$B$47)/('Buyer - Model 2'!$B$48-'Buyer - Model 2'!$B$47)))</x:f>
        <x:v>0</x:v>
      </x:c>
      <x:c r="J8" s="91" t="n">
        <x:f>IF(C8="Yes",IF('Buyer - Model 2'!$B$49="Must Have",2,IF('Buyer - Model 2'!$B$49="Nice to Have",1,0)),0)</x:f>
        <x:v>0</x:v>
      </x:c>
      <x:c r="K8" s="91" t="n">
        <x:f>IF(D8="Yes",IF('Buyer - Model 2'!$B$50="Must Have",2,IF('Buyer - Model 2'!$B$50="Nice to Have",1,0)),0)</x:f>
        <x:v>0</x:v>
      </x:c>
      <x:c r="L8" s="91" t="n">
        <x:f>IF(E8="Yes",IF('Buyer - Model 2'!$B$51="Must Have",2,IF('Buyer - Model 2'!$B$51="Nice to Have",1,0)),0)</x:f>
        <x:v>1</x:v>
      </x:c>
      <x:c r="M8" s="91" t="n">
        <x:f>IF(F8="Yes",IF('Buyer - Model 2'!$B$52="Must Have",2,IF('Buyer - Model 2'!$B$52="Nice to Have",1,0)),0)</x:f>
        <x:v>2</x:v>
      </x:c>
      <x:c r="N8" s="91" t="n">
        <x:f>IF(G8="Yes",IF('Buyer - Model 2'!$B$53="Must Have",2,IF('Buyer - Model 2'!$B$53="Nice to Have",1,0)),0)</x:f>
        <x:v>1</x:v>
      </x:c>
      <x:c r="O8" s="91" t="n">
        <x:f>IF(H8="Yes",IF('Buyer - Model 2'!$B$54="Must Have",2,IF('Buyer - Model 2'!$B$54="Nice to Have",1,0)),0)</x:f>
        <x:v>0</x:v>
      </x:c>
      <x:c r="P8" s="91" t="n">
        <x:f>SUM(J8:O8)</x:f>
        <x:v>4</x:v>
      </x:c>
      <x:c r="Q8" s="91" t="n">
        <x:f>IF('Buyer - Model 2'!$B$49="Must Have",2,IF('Buyer - Model 2'!$B$49="Nice to Have",1,0))+IF('Buyer - Model 2'!$B$50="Must Have",2,IF('Buyer - Model 2'!$B$50="Nice to Have",1,0))+IF('Buyer - Model 2'!$B$51="Must Have",2,IF('Buyer - Model 2'!$B$51="Nice to Have",1,0))+IF('Buyer - Model 2'!$B$52="Must Have",2,IF('Buyer - Model 2'!$B$52="Nice to Have",1,0))+IF('Buyer - Model 2'!$B$53="Must Have",2,IF('Buyer - Model 2'!$B$53="Nice to Have",1,0))+IF('Buyer - Model 2'!$B$54="Must Have",2,IF('Buyer - Model 2'!$B$54="Nice to Have",1,0))</x:f>
        <x:v>6</x:v>
      </x:c>
      <x:c r="R8" s="91" t="n">
        <x:f>IF(Q8=0,100,100*P8/Q8)</x:f>
        <x:v>66.66666666666667</x:v>
      </x:c>
      <x:c r="S8" s="91" t="n">
        <x:f>I8*'Buyer - Model 2'!$B$55+R8*'Buyer - Model 2'!$B$56</x:f>
        <x:v>33.333333333333336</x:v>
      </x:c>
      <x:c r="T8" s="20" t="str">
        <x:v>Below minimum desired home size</x:v>
      </x:c>
      <x:c r="U8" s="20" t="str">
        <x:v>Missing Must Have: Garage</x:v>
      </x:c>
      <x:c r="V8" s="20" t="str">
        <x:v>Review size and must-have mismatch</x:v>
      </x:c>
      <x:c r="W8" s="20" t="str">
        <x:v>Below minimum size and missing must-have garage.</x:v>
      </x:c>
    </x:row>
    <x:row r="10">
      <x:c r="A10" s="20" t="str">
        <x:v>Method note: Must Have = 2 points, Nice to Have = 1 point, Don't Care = 0. The 2:1 ratio is a transparent V1 modeling assumption to test, not a scientifically established constant. Missing must-haves are flagged separately from the numerical score.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</x:row>
  </x:sheetData>
  <x:mergeCells>
    <x:mergeCell ref="A1:W1"/>
    <x:mergeCell ref="A2:W2"/>
    <x:mergeCell ref="A10:W1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  <x:col min="9" max="9" width="12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15" hidden="0" customWidth="1"/>
    <x:col min="15" max="15" width="24" hidden="0" customWidth="1"/>
    <x:col min="16" max="16" width="17" hidden="0" customWidth="1"/>
    <x:col min="17" max="17" width="44" hidden="0" customWidth="1"/>
  </x:cols>
  <x:sheetData>
    <x:row r="1">
      <x:c r="A1" s="106" t="str">
        <x:v>HomeScore V7 — Buyer Fit Summary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</x:row>
    <x:row r="2">
      <x:c r="A2" s="20" t="str">
        <x:v>Active V1 combines Affordability, Location &amp; Lifestyle, and Property. Investment Potential remains Research / Experimental and is excluded from the score.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4" ht="26.399999618530273" hidden="0" customHeight="1">
      <x:c r="A4" s="108" t="str">
        <x:v>House</x:v>
      </x:c>
      <x:c r="B4" s="108" t="str">
        <x:v>Affordability Fit</x:v>
      </x:c>
      <x:c r="C4" s="108" t="str">
        <x:v>Location Fit</x:v>
      </x:c>
      <x:c r="D4" s="108" t="str">
        <x:v>Property Fit</x:v>
      </x:c>
      <x:c r="E4" s="108" t="str">
        <x:v>Affordability Weight</x:v>
      </x:c>
      <x:c r="F4" s="108" t="str">
        <x:v>Location Weight</x:v>
      </x:c>
      <x:c r="G4" s="108" t="str">
        <x:v>Property Weight</x:v>
      </x:c>
      <x:c r="H4" s="108" t="str">
        <x:v>HomeScore</x:v>
      </x:c>
      <x:c r="I4" s="108" t="str">
        <x:v>Rank</x:v>
      </x:c>
      <x:c r="J4" s="108" t="str">
        <x:v>Affordability Review</x:v>
      </x:c>
      <x:c r="K4" s="108" t="str">
        <x:v>Location Review</x:v>
      </x:c>
      <x:c r="L4" s="108" t="str">
        <x:v>Property Review</x:v>
      </x:c>
      <x:c r="M4" s="108" t="str">
        <x:v>Overall Review</x:v>
      </x:c>
      <x:c r="N4" s="124" t="str">
        <x:v>Constraint Count</x:v>
      </x:c>
      <x:c r="O4" s="124" t="str">
        <x:v>Result Group</x:v>
      </x:c>
      <x:c r="P4" s="124" t="str">
        <x:v>Rank within Group</x:v>
      </x:c>
      <x:c r="Q4" s="124" t="str">
        <x:v>Constraint Detail</x:v>
      </x:c>
    </x:row>
    <x:row r="5" ht="52.79999923706055" hidden="0" customHeight="1">
      <x:c r="A5" s="20" t="str">
        <x:f>'Affordability Lab'!A5</x:f>
        <x:v>House A</x:v>
      </x:c>
      <x:c r="B5" s="91" t="n">
        <x:f>'Affordability Lab'!N5</x:f>
        <x:v>100</x:v>
      </x:c>
      <x:c r="C5" s="91" t="n">
        <x:f>'Location Lab'!H4</x:f>
        <x:v>88.18181818181817</x:v>
      </x:c>
      <x:c r="D5" s="91" t="n">
        <x:f>'Property Lab'!S5</x:f>
        <x:v>84.52380952380952</x:v>
      </x:c>
      <x:c r="E5" s="36" t="n">
        <x:f>'Buyer - Model 2'!$B$65</x:f>
        <x:v>0.4166666666666667</x:v>
      </x:c>
      <x:c r="F5" s="36" t="n">
        <x:f>'Buyer - Model 2'!$B$66</x:f>
        <x:v>0.3333333333333333</x:v>
      </x:c>
      <x:c r="G5" s="36" t="n">
        <x:f>'Buyer - Model 2'!$B$67</x:f>
        <x:v>0.25</x:v>
      </x:c>
      <x:c r="H5" s="91" t="n">
        <x:f>B5*E5+C5*F5+D5*G5</x:f>
        <x:v>92.19155844155844</x:v>
      </x:c>
      <x:c r="I5" s="87" t="n">
        <x:f>RANK(H5,$H$5:$H$8,0)</x:f>
        <x:v>1</x:v>
      </x:c>
      <x:c r="J5" s="20" t="str">
        <x:v>Within stated limits</x:v>
      </x:c>
      <x:c r="K5" s="20" t="str">
        <x:v>Within stated limits</x:v>
      </x:c>
      <x:c r="L5" s="20" t="str">
        <x:v>Within stated preferences</x:v>
      </x:c>
      <x:c r="M5" s="20" t="str">
        <x:v>No major V1 warning</x:v>
      </x:c>
      <x:c r="N5" s="20" t="n">
        <x:v>0</x:v>
      </x:c>
      <x:c r="O5" s="20" t="str">
        <x:v>Best Matches</x:v>
      </x:c>
      <x:c r="P5" s="20" t="n">
        <x:v>1</x:v>
      </x:c>
      <x:c r="Q5" s="20" t="str">
        <x:v>Meets all stated thresholds</x:v>
      </x:c>
    </x:row>
    <x:row r="6" ht="52.79999923706055" hidden="0" customHeight="1">
      <x:c r="A6" s="20" t="str">
        <x:f>'Affordability Lab'!A6</x:f>
        <x:v>House B</x:v>
      </x:c>
      <x:c r="B6" s="91" t="n">
        <x:f>'Affordability Lab'!N6</x:f>
        <x:v>87.5</x:v>
      </x:c>
      <x:c r="C6" s="91" t="n">
        <x:f>'Location Lab'!H5</x:f>
        <x:v>82.22222222222223</x:v>
      </x:c>
      <x:c r="D6" s="91" t="n">
        <x:f>'Property Lab'!S6</x:f>
        <x:v>91.66666666666666</x:v>
      </x:c>
      <x:c r="E6" s="36" t="n">
        <x:f>'Buyer - Model 2'!$B$65</x:f>
        <x:v>0.4166666666666667</x:v>
      </x:c>
      <x:c r="F6" s="36" t="n">
        <x:f>'Buyer - Model 2'!$B$66</x:f>
        <x:v>0.3333333333333333</x:v>
      </x:c>
      <x:c r="G6" s="36" t="n">
        <x:f>'Buyer - Model 2'!$B$67</x:f>
        <x:v>0.25</x:v>
      </x:c>
      <x:c r="H6" s="91" t="n">
        <x:f>B6*E6+C6*F6+D6*G6</x:f>
        <x:v>86.78240740740742</x:v>
      </x:c>
      <x:c r="I6" s="87" t="n">
        <x:f>RANK(H6,$H$5:$H$8,0)</x:f>
        <x:v>2</x:v>
      </x:c>
      <x:c r="J6" s="20" t="str">
        <x:v>Within stated limits</x:v>
      </x:c>
      <x:c r="K6" s="20" t="str">
        <x:v>Within stated limits</x:v>
      </x:c>
      <x:c r="L6" s="20" t="str">
        <x:v>Within stated preferences</x:v>
      </x:c>
      <x:c r="M6" s="20" t="str">
        <x:v>No major V1 warning</x:v>
      </x:c>
      <x:c r="N6" s="20" t="n">
        <x:v>0</x:v>
      </x:c>
      <x:c r="O6" s="20" t="str">
        <x:v>Best Matches</x:v>
      </x:c>
      <x:c r="P6" s="20" t="n">
        <x:v>2</x:v>
      </x:c>
      <x:c r="Q6" s="20" t="str">
        <x:v>Meets all stated thresholds</x:v>
      </x:c>
    </x:row>
    <x:row r="7" ht="66" hidden="0" customHeight="1">
      <x:c r="A7" s="20" t="str">
        <x:f>'Affordability Lab'!A7</x:f>
        <x:v>House C</x:v>
      </x:c>
      <x:c r="B7" s="91" t="n">
        <x:f>'Affordability Lab'!N7</x:f>
        <x:v>45.57953738007682</x:v>
      </x:c>
      <x:c r="C7" s="91" t="n">
        <x:f>'Location Lab'!H6</x:f>
        <x:v>72.02020202020202</x:v>
      </x:c>
      <x:c r="D7" s="91" t="n">
        <x:f>'Property Lab'!S7</x:f>
        <x:v>54.76190476190476</x:v>
      </x:c>
      <x:c r="E7" s="36" t="n">
        <x:f>'Buyer - Model 2'!$B$65</x:f>
        <x:v>0.4166666666666667</x:v>
      </x:c>
      <x:c r="F7" s="36" t="n">
        <x:f>'Buyer - Model 2'!$B$66</x:f>
        <x:v>0.3333333333333333</x:v>
      </x:c>
      <x:c r="G7" s="36" t="n">
        <x:f>'Buyer - Model 2'!$B$67</x:f>
        <x:v>0.25</x:v>
      </x:c>
      <x:c r="H7" s="91" t="n">
        <x:f>B7*E7+C7*F7+D7*G7</x:f>
        <x:v>56.68868410557554</x:v>
      </x:c>
      <x:c r="I7" s="87" t="n">
        <x:f>RANK(H7,$H$5:$H$8,0)</x:f>
        <x:v>3</x:v>
      </x:c>
      <x:c r="J7" s="20" t="str">
        <x:v>Within stated limits</x:v>
      </x:c>
      <x:c r="K7" s="20" t="str">
        <x:v>Within stated limits</x:v>
      </x:c>
      <x:c r="L7" s="20" t="str">
        <x:v>Missing Must Have: Home Office</x:v>
      </x:c>
      <x:c r="M7" s="20" t="str">
        <x:v>Review must-have mismatch</x:v>
      </x:c>
      <x:c r="N7" s="20" t="n">
        <x:v>1</x:v>
      </x:c>
      <x:c r="O7" s="20" t="str">
        <x:v>Other Homes to Consider</x:v>
      </x:c>
      <x:c r="P7" s="20" t="n">
        <x:v>1</x:v>
      </x:c>
      <x:c r="Q7" s="20" t="str">
        <x:v>Missing Must Have: Home Office</x:v>
      </x:c>
    </x:row>
    <x:row r="8" ht="92.4000015258789" hidden="0" customHeight="1">
      <x:c r="A8" s="20" t="str">
        <x:f>'Affordability Lab'!A8</x:f>
        <x:v>House D</x:v>
      </x:c>
      <x:c r="B8" s="91" t="n">
        <x:f>'Affordability Lab'!N8</x:f>
        <x:v>4.217793610089643</x:v>
      </x:c>
      <x:c r="C8" s="91" t="n">
        <x:f>'Location Lab'!H7</x:f>
        <x:v>60.80808080808082</x:v>
      </x:c>
      <x:c r="D8" s="91" t="n">
        <x:f>'Property Lab'!S8</x:f>
        <x:v>33.333333333333336</x:v>
      </x:c>
      <x:c r="E8" s="36" t="n">
        <x:f>'Buyer - Model 2'!$B$65</x:f>
        <x:v>0.4166666666666667</x:v>
      </x:c>
      <x:c r="F8" s="36" t="n">
        <x:f>'Buyer - Model 2'!$B$66</x:f>
        <x:v>0.3333333333333333</x:v>
      </x:c>
      <x:c r="G8" s="36" t="n">
        <x:f>'Buyer - Model 2'!$B$67</x:f>
        <x:v>0.25</x:v>
      </x:c>
      <x:c r="H8" s="91" t="n">
        <x:f>B8*E8+C8*F8+D8*G8</x:f>
        <x:v>30.36010760689762</x:v>
      </x:c>
      <x:c r="I8" s="87" t="n">
        <x:f>RANK(H8,$H$5:$H$8,0)</x:f>
        <x:v>4</x:v>
      </x:c>
      <x:c r="J8" s="20" t="str">
        <x:v>Exceeds maximum purchase price</x:v>
      </x:c>
      <x:c r="K8" s="20" t="str">
        <x:v>Exceeds maximum commute</x:v>
      </x:c>
      <x:c r="L8" s="20" t="str">
        <x:v>Below minimum size; Missing Must Have: Garage</x:v>
      </x:c>
      <x:c r="M8" s="20" t="str">
        <x:v>Review multiple stated limits</x:v>
      </x:c>
      <x:c r="N8" s="20" t="n">
        <x:v>4</x:v>
      </x:c>
      <x:c r="O8" s="20" t="str">
        <x:v>Other Homes to Consider</x:v>
      </x:c>
      <x:c r="P8" s="20" t="n">
        <x:v>2</x:v>
      </x:c>
      <x:c r="Q8" s="20" t="str">
        <x:v>Exceeds max purchase price; exceeds max commute; below minimum size; missing Must Have: Garage</x:v>
      </x:c>
    </x:row>
    <x:row r="11">
      <x:c r="A11" s="103" t="str">
        <x:v>V1 Formula</x:v>
      </x:c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</x:row>
    <x:row r="12">
      <x:c r="A12" s="20" t="str">
        <x:v>HomeScore = Affordability Fit × normalized Affordability importance + Location Fit × normalized Location importance + Property Fit × normalized Property importance.</x:v>
      </x:c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</x:row>
    <x:row r="14">
      <x:c r="A14" s="20" t="str">
        <x:v>Prototype 1 ranking rule: Best Matches first, ranked by unmodified HomeScore. Then Other Homes to Consider, also ranked by unmodified HomeScore, with every threshold exception explained.</x:v>
      </x:c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</x:row>
  </x:sheetData>
  <x:mergeCells>
    <x:mergeCell ref="A1:M1"/>
    <x:mergeCell ref="A2:M2"/>
    <x:mergeCell ref="A11:M11"/>
    <x:mergeCell ref="A12:M12"/>
    <x:mergeCell ref="A14:M1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16" hidden="0" customWidth="1"/>
    <x:col min="16" max="16" width="24" hidden="0" customWidth="1"/>
    <x:col min="17" max="17" width="17" hidden="0" customWidth="1"/>
    <x:col min="19" max="19" width="14" hidden="0" customWidth="1"/>
    <x:col min="20" max="20" width="18" hidden="0" customWidth="1"/>
    <x:col min="21" max="21" width="18" hidden="0" customWidth="1"/>
    <x:col min="22" max="22" width="18" hidden="0" customWidth="1"/>
    <x:col min="23" max="23" width="38" hidden="0" customWidth="1"/>
    <x:col min="18" max="18" width="36" hidden="0" customWidth="1"/>
  </x:cols>
  <x:sheetData>
    <x:row r="1">
      <x:c r="A1" s="111" t="str">
        <x:v>HomeScore Model V1 — Frozen Stress Test / Prototype 1 Reference</x:v>
      </x:c>
      <x:c r="B1" s="111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  <x:c r="U1" s="111"/>
      <x:c r="V1" s="111"/>
      <x:c r="W1" s="111"/>
      <x:c r="X1" s="111"/>
      <x:c r="Y1" s="111"/>
      <x:c r="Z1" s="111"/>
      <x:c r="AA1" s="111"/>
      <x:c r="AB1" s="111"/>
      <x:c r="AC1" s="111"/>
      <x:c r="AD1" s="111"/>
      <x:c r="AE1" s="111"/>
      <x:c r="AF1" s="111"/>
      <x:c r="AG1" s="111"/>
      <x:c r="AH1" s="111"/>
      <x:c r="AI1" s="111"/>
      <x:c r="AJ1" s="111"/>
      <x:c r="AK1" s="111"/>
      <x:c r="AL1" s="111"/>
      <x:c r="AM1" s="111"/>
      <x:c r="AN1" s="111"/>
      <x:c r="AO1" s="111"/>
      <x:c r="AP1" s="111"/>
      <x:c r="AQ1" s="111"/>
      <x:c r="AR1" s="111"/>
      <x:c r="AS1" s="111"/>
      <x:c r="AT1" s="111"/>
      <x:c r="AU1" s="111"/>
      <x:c r="AV1" s="111"/>
      <x:c r="AW1" s="111"/>
      <x:c r="AX1" s="111"/>
      <x:c r="AY1" s="111"/>
      <x:c r="AZ1" s="111"/>
    </x:row>
    <x:row r="2">
      <x:c r="A2" s="20" t="str">
        <x:v>HomeScore remains unmodified by threshold violations. Recommendation order is constraint-aware: Best Matches first, then Other Homes to Consider; each group is ranked by HomeScore.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  <x:c r="AC2" s="20"/>
      <x:c r="AD2" s="20"/>
      <x:c r="AE2" s="20"/>
      <x:c r="AF2" s="20"/>
      <x:c r="AG2" s="20"/>
      <x:c r="AH2" s="20"/>
      <x:c r="AI2" s="20"/>
      <x:c r="AJ2" s="20"/>
      <x:c r="AK2" s="20"/>
      <x:c r="AL2" s="20"/>
      <x:c r="AM2" s="20"/>
      <x:c r="AN2" s="20"/>
      <x:c r="AO2" s="20"/>
      <x:c r="AP2" s="20"/>
      <x:c r="AQ2" s="20"/>
      <x:c r="AR2" s="20"/>
      <x:c r="AS2" s="20"/>
      <x:c r="AT2" s="20"/>
      <x:c r="AU2" s="20"/>
      <x:c r="AV2" s="20"/>
      <x:c r="AW2" s="20"/>
      <x:c r="AX2" s="20"/>
      <x:c r="AY2" s="20"/>
      <x:c r="AZ2" s="20"/>
    </x:row>
    <x:row r="5">
      <x:c r="A5" s="114" t="str">
        <x:v>Buyer</x:v>
      </x:c>
      <x:c r="B5" s="114" t="str">
        <x:v>Purpose</x:v>
      </x:c>
      <x:c r="C5" s="114" t="str">
        <x:v>Affordability Imp.</x:v>
      </x:c>
      <x:c r="D5" s="114" t="str">
        <x:v>Location Imp.</x:v>
      </x:c>
      <x:c r="E5" s="114" t="str">
        <x:v>Property Imp.</x:v>
      </x:c>
      <x:c r="F5" s="114" t="str">
        <x:v>Price Imp.</x:v>
      </x:c>
      <x:c r="G5" s="114" t="str">
        <x:v>Monthly Imp.</x:v>
      </x:c>
      <x:c r="H5" s="114" t="str">
        <x:v>School Imp.</x:v>
      </x:c>
      <x:c r="I5" s="114" t="str">
        <x:v>Safety Imp.</x:v>
      </x:c>
      <x:c r="J5" s="114" t="str">
        <x:v>Commute Imp.</x:v>
      </x:c>
      <x:c r="K5" s="114" t="str">
        <x:v>Size Imp.</x:v>
      </x:c>
      <x:c r="L5" s="114" t="str">
        <x:v>Amenities Imp.</x:v>
      </x:c>
      <x:c r="M5" s="114" t="str">
        <x:v>Target Price</x:v>
      </x:c>
      <x:c r="N5" s="114" t="str">
        <x:v>Max Price</x:v>
      </x:c>
      <x:c r="O5" s="114" t="str">
        <x:v>Down Payment</x:v>
      </x:c>
      <x:c r="P5" s="114" t="str">
        <x:v>Rate</x:v>
      </x:c>
      <x:c r="Q5" s="114" t="str">
        <x:v>Term</x:v>
      </x:c>
      <x:c r="R5" s="114" t="str">
        <x:v>Target Monthly</x:v>
      </x:c>
      <x:c r="S5" s="114" t="str">
        <x:v>Max Monthly</x:v>
      </x:c>
      <x:c r="T5" s="114" t="str">
        <x:v>Removed School Target</x:v>
      </x:c>
      <x:c r="U5" s="114" t="str">
        <x:v>Min School</x:v>
      </x:c>
      <x:c r="V5" s="114" t="str">
        <x:v>Removed Safety Target</x:v>
      </x:c>
      <x:c r="W5" s="114" t="str">
        <x:v>Min Safety</x:v>
      </x:c>
      <x:c r="X5" s="114" t="str">
        <x:v>Removed Commute Target</x:v>
      </x:c>
      <x:c r="Y5" s="114" t="str">
        <x:v>Max Commute</x:v>
      </x:c>
      <x:c r="Z5" s="114" t="str">
        <x:v>Min Sq Ft</x:v>
      </x:c>
      <x:c r="AA5" s="114" t="str">
        <x:v>Target Sq Ft</x:v>
      </x:c>
      <x:c r="AB5" s="114" t="str">
        <x:v>Garage</x:v>
      </x:c>
      <x:c r="AC5" s="114" t="str">
        <x:v>Pool</x:v>
      </x:c>
      <x:c r="AD5" s="114" t="str">
        <x:v>Large Yard</x:v>
      </x:c>
      <x:c r="AE5" s="114" t="str">
        <x:v>Home Office</x:v>
      </x:c>
      <x:c r="AF5" s="114" t="str">
        <x:v>Updated Kitchen</x:v>
      </x:c>
      <x:c r="AG5" s="114" t="str">
        <x:v>1st-floor Primary</x:v>
      </x:c>
    </x:row>
    <x:row r="6">
      <x:c r="A6" s="20" t="str">
        <x:v>Buyer 1</x:v>
      </x:c>
      <x:c r="B6" s="20" t="str">
        <x:v>Current baseline</x:v>
      </x:c>
      <x:c r="C6" s="20" t="n">
        <x:v>5</x:v>
      </x:c>
      <x:c r="D6" s="20" t="n">
        <x:v>4</x:v>
      </x:c>
      <x:c r="E6" s="20" t="n">
        <x:v>3</x:v>
      </x:c>
      <x:c r="F6" s="20" t="n">
        <x:v>3</x:v>
      </x:c>
      <x:c r="G6" s="20" t="n">
        <x:v>5</x:v>
      </x:c>
      <x:c r="H6" s="20" t="n">
        <x:v>5</x:v>
      </x:c>
      <x:c r="I6" s="20" t="n">
        <x:v>4</x:v>
      </x:c>
      <x:c r="J6" s="20" t="n">
        <x:v>2</x:v>
      </x:c>
      <x:c r="K6" s="20" t="n">
        <x:v>4</x:v>
      </x:c>
      <x:c r="L6" s="20" t="n">
        <x:v>3</x:v>
      </x:c>
      <x:c r="M6" s="116" t="n">
        <x:v>450000</x:v>
      </x:c>
      <x:c r="N6" s="116" t="n">
        <x:v>600000</x:v>
      </x:c>
      <x:c r="O6" s="116" t="n">
        <x:v>100000</x:v>
      </x:c>
      <x:c r="P6" s="117" t="n">
        <x:v>0.0625</x:v>
      </x:c>
      <x:c r="Q6" s="20" t="n">
        <x:v>30</x:v>
      </x:c>
      <x:c r="R6" s="116" t="n">
        <x:v>3500</x:v>
      </x:c>
      <x:c r="S6" s="116" t="n">
        <x:v>4500</x:v>
      </x:c>
      <x:c r="T6" s="20"/>
      <x:c r="U6" s="20" t="n">
        <x:v>6</x:v>
      </x:c>
      <x:c r="V6" s="20"/>
      <x:c r="W6" s="20" t="n">
        <x:v>6</x:v>
      </x:c>
      <x:c r="X6" s="20"/>
      <x:c r="Y6" s="20" t="n">
        <x:v>45</x:v>
      </x:c>
      <x:c r="Z6" s="20" t="n">
        <x:v>1800</x:v>
      </x:c>
      <x:c r="AA6" s="20" t="n">
        <x:v>2500</x:v>
      </x:c>
      <x:c r="AB6" s="20" t="str">
        <x:v>Must Have</x:v>
      </x:c>
      <x:c r="AC6" s="20" t="str">
        <x:v>Don't Care</x:v>
      </x:c>
      <x:c r="AD6" s="20" t="str">
        <x:v>Nice to Have</x:v>
      </x:c>
      <x:c r="AE6" s="20" t="str">
        <x:v>Must Have</x:v>
      </x:c>
      <x:c r="AF6" s="20" t="str">
        <x:v>Nice to Have</x:v>
      </x:c>
      <x:c r="AG6" s="20" t="str">
        <x:v>Don't Care</x:v>
      </x:c>
    </x:row>
    <x:row r="7">
      <x:c r="A7" s="20" t="str">
        <x:v>Buyer 2</x:v>
      </x:c>
      <x:c r="B7" s="20" t="str">
        <x:v>Location-focused family</x:v>
      </x:c>
      <x:c r="C7" s="20" t="n">
        <x:v>2</x:v>
      </x:c>
      <x:c r="D7" s="20" t="n">
        <x:v>5</x:v>
      </x:c>
      <x:c r="E7" s="20" t="n">
        <x:v>3</x:v>
      </x:c>
      <x:c r="F7" s="20" t="n">
        <x:v>2</x:v>
      </x:c>
      <x:c r="G7" s="20" t="n">
        <x:v>4</x:v>
      </x:c>
      <x:c r="H7" s="20" t="n">
        <x:v>5</x:v>
      </x:c>
      <x:c r="I7" s="20" t="n">
        <x:v>5</x:v>
      </x:c>
      <x:c r="J7" s="20" t="n">
        <x:v>4</x:v>
      </x:c>
      <x:c r="K7" s="20" t="n">
        <x:v>3</x:v>
      </x:c>
      <x:c r="L7" s="20" t="n">
        <x:v>3</x:v>
      </x:c>
      <x:c r="M7" s="116" t="n">
        <x:v>525000</x:v>
      </x:c>
      <x:c r="N7" s="116" t="n">
        <x:v>700000</x:v>
      </x:c>
      <x:c r="O7" s="116" t="n">
        <x:v>140000</x:v>
      </x:c>
      <x:c r="P7" s="117" t="n">
        <x:v>0.0625</x:v>
      </x:c>
      <x:c r="Q7" s="20" t="n">
        <x:v>30</x:v>
      </x:c>
      <x:c r="R7" s="116" t="n">
        <x:v>4200</x:v>
      </x:c>
      <x:c r="S7" s="116" t="n">
        <x:v>5200</x:v>
      </x:c>
      <x:c r="T7" s="20"/>
      <x:c r="U7" s="20" t="n">
        <x:v>7</x:v>
      </x:c>
      <x:c r="V7" s="20"/>
      <x:c r="W7" s="20" t="n">
        <x:v>7</x:v>
      </x:c>
      <x:c r="X7" s="20"/>
      <x:c r="Y7" s="20" t="n">
        <x:v>40</x:v>
      </x:c>
      <x:c r="Z7" s="20" t="n">
        <x:v>1900</x:v>
      </x:c>
      <x:c r="AA7" s="20" t="n">
        <x:v>2600</x:v>
      </x:c>
      <x:c r="AB7" s="20" t="str">
        <x:v>Must Have</x:v>
      </x:c>
      <x:c r="AC7" s="20" t="str">
        <x:v>Don't Care</x:v>
      </x:c>
      <x:c r="AD7" s="20" t="str">
        <x:v>Nice to Have</x:v>
      </x:c>
      <x:c r="AE7" s="20" t="str">
        <x:v>Nice to Have</x:v>
      </x:c>
      <x:c r="AF7" s="20" t="str">
        <x:v>Nice to Have</x:v>
      </x:c>
      <x:c r="AG7" s="20" t="str">
        <x:v>Don't Care</x:v>
      </x:c>
    </x:row>
    <x:row r="8">
      <x:c r="A8" s="20" t="str">
        <x:v>Buyer 3</x:v>
      </x:c>
      <x:c r="B8" s="20" t="str">
        <x:v>Value-focused buyer</x:v>
      </x:c>
      <x:c r="C8" s="20" t="n">
        <x:v>5</x:v>
      </x:c>
      <x:c r="D8" s="20" t="n">
        <x:v>2</x:v>
      </x:c>
      <x:c r="E8" s="20" t="n">
        <x:v>2</x:v>
      </x:c>
      <x:c r="F8" s="20" t="n">
        <x:v>5</x:v>
      </x:c>
      <x:c r="G8" s="20" t="n">
        <x:v>5</x:v>
      </x:c>
      <x:c r="H8" s="20" t="n">
        <x:v>3</x:v>
      </x:c>
      <x:c r="I8" s="20" t="n">
        <x:v>3</x:v>
      </x:c>
      <x:c r="J8" s="20" t="n">
        <x:v>2</x:v>
      </x:c>
      <x:c r="K8" s="20" t="n">
        <x:v>2</x:v>
      </x:c>
      <x:c r="L8" s="20" t="n">
        <x:v>2</x:v>
      </x:c>
      <x:c r="M8" s="116" t="n">
        <x:v>400000</x:v>
      </x:c>
      <x:c r="N8" s="116" t="n">
        <x:v>525000</x:v>
      </x:c>
      <x:c r="O8" s="116" t="n">
        <x:v>100000</x:v>
      </x:c>
      <x:c r="P8" s="117" t="n">
        <x:v>0.0625</x:v>
      </x:c>
      <x:c r="Q8" s="20" t="n">
        <x:v>30</x:v>
      </x:c>
      <x:c r="R8" s="116" t="n">
        <x:v>3000</x:v>
      </x:c>
      <x:c r="S8" s="116" t="n">
        <x:v>3800</x:v>
      </x:c>
      <x:c r="T8" s="20"/>
      <x:c r="U8" s="20" t="n">
        <x:v>5</x:v>
      </x:c>
      <x:c r="V8" s="20"/>
      <x:c r="W8" s="20" t="n">
        <x:v>5</x:v>
      </x:c>
      <x:c r="X8" s="20"/>
      <x:c r="Y8" s="20" t="n">
        <x:v>55</x:v>
      </x:c>
      <x:c r="Z8" s="20" t="n">
        <x:v>1600</x:v>
      </x:c>
      <x:c r="AA8" s="20" t="n">
        <x:v>2200</x:v>
      </x:c>
      <x:c r="AB8" s="20" t="str">
        <x:v>Nice to Have</x:v>
      </x:c>
      <x:c r="AC8" s="20" t="str">
        <x:v>Don't Care</x:v>
      </x:c>
      <x:c r="AD8" s="20" t="str">
        <x:v>Don't Care</x:v>
      </x:c>
      <x:c r="AE8" s="20" t="str">
        <x:v>Nice to Have</x:v>
      </x:c>
      <x:c r="AF8" s="20" t="str">
        <x:v>Don't Care</x:v>
      </x:c>
      <x:c r="AG8" s="20" t="str">
        <x:v>Don't Care</x:v>
      </x:c>
    </x:row>
    <x:row r="9">
      <x:c r="A9" s="20" t="str">
        <x:v>Buyer 4</x:v>
      </x:c>
      <x:c r="B9" s="20" t="str">
        <x:v>Property-focused buyer</x:v>
      </x:c>
      <x:c r="C9" s="20" t="n">
        <x:v>2</x:v>
      </x:c>
      <x:c r="D9" s="20" t="n">
        <x:v>3</x:v>
      </x:c>
      <x:c r="E9" s="20" t="n">
        <x:v>5</x:v>
      </x:c>
      <x:c r="F9" s="20" t="n">
        <x:v>2</x:v>
      </x:c>
      <x:c r="G9" s="20" t="n">
        <x:v>3</x:v>
      </x:c>
      <x:c r="H9" s="20" t="n">
        <x:v>3</x:v>
      </x:c>
      <x:c r="I9" s="20" t="n">
        <x:v>3</x:v>
      </x:c>
      <x:c r="J9" s="20" t="n">
        <x:v>2</x:v>
      </x:c>
      <x:c r="K9" s="20" t="n">
        <x:v>5</x:v>
      </x:c>
      <x:c r="L9" s="20" t="n">
        <x:v>5</x:v>
      </x:c>
      <x:c r="M9" s="116" t="n">
        <x:v>575000</x:v>
      </x:c>
      <x:c r="N9" s="116" t="n">
        <x:v>725000</x:v>
      </x:c>
      <x:c r="O9" s="116" t="n">
        <x:v>150000</x:v>
      </x:c>
      <x:c r="P9" s="117" t="n">
        <x:v>0.0625</x:v>
      </x:c>
      <x:c r="Q9" s="20" t="n">
        <x:v>30</x:v>
      </x:c>
      <x:c r="R9" s="116" t="n">
        <x:v>4500</x:v>
      </x:c>
      <x:c r="S9" s="116" t="n">
        <x:v>5500</x:v>
      </x:c>
      <x:c r="T9" s="20"/>
      <x:c r="U9" s="20" t="n">
        <x:v>6</x:v>
      </x:c>
      <x:c r="V9" s="20"/>
      <x:c r="W9" s="20" t="n">
        <x:v>6</x:v>
      </x:c>
      <x:c r="X9" s="20"/>
      <x:c r="Y9" s="20" t="n">
        <x:v>50</x:v>
      </x:c>
      <x:c r="Z9" s="20" t="n">
        <x:v>2200</x:v>
      </x:c>
      <x:c r="AA9" s="20" t="n">
        <x:v>3000</x:v>
      </x:c>
      <x:c r="AB9" s="20" t="str">
        <x:v>Must Have</x:v>
      </x:c>
      <x:c r="AC9" s="20" t="str">
        <x:v>Must Have</x:v>
      </x:c>
      <x:c r="AD9" s="20" t="str">
        <x:v>Nice to Have</x:v>
      </x:c>
      <x:c r="AE9" s="20" t="str">
        <x:v>Must Have</x:v>
      </x:c>
      <x:c r="AF9" s="20" t="str">
        <x:v>Must Have</x:v>
      </x:c>
      <x:c r="AG9" s="20" t="str">
        <x:v>Nice to Have</x:v>
      </x:c>
    </x:row>
    <x:row r="12">
      <x:c r="A12" s="114" t="str">
        <x:v>House</x:v>
      </x:c>
      <x:c r="B12" s="114" t="str">
        <x:v>Test Purpose</x:v>
      </x:c>
      <x:c r="C12" s="114" t="str">
        <x:v>Price</x:v>
      </x:c>
      <x:c r="D12" s="114" t="str">
        <x:v>Tax/Yr</x:v>
      </x:c>
      <x:c r="E12" s="114" t="str">
        <x:v>Insurance/Yr</x:v>
      </x:c>
      <x:c r="F12" s="114" t="str">
        <x:v>HOA/Mo</x:v>
      </x:c>
      <x:c r="G12" s="114" t="str">
        <x:v>School</x:v>
      </x:c>
      <x:c r="H12" s="114" t="str">
        <x:v>Safety</x:v>
      </x:c>
      <x:c r="I12" s="114" t="str">
        <x:v>Commute</x:v>
      </x:c>
      <x:c r="J12" s="114" t="str">
        <x:v>Sq Ft</x:v>
      </x:c>
      <x:c r="K12" s="114" t="str">
        <x:v>Garage</x:v>
      </x:c>
      <x:c r="L12" s="114" t="str">
        <x:v>Pool</x:v>
      </x:c>
      <x:c r="M12" s="114" t="str">
        <x:v>Large Yard</x:v>
      </x:c>
      <x:c r="N12" s="114" t="str">
        <x:v>Home Office</x:v>
      </x:c>
      <x:c r="O12" s="114" t="str">
        <x:v>Updated Kitchen</x:v>
      </x:c>
      <x:c r="P12" s="114" t="str">
        <x:v>1st-floor Primary</x:v>
      </x:c>
    </x:row>
    <x:row r="13">
      <x:c r="A13" s="20" t="str">
        <x:v>House A</x:v>
      </x:c>
      <x:c r="B13" s="20" t="str">
        <x:v>Excellent overall baseline</x:v>
      </x:c>
      <x:c r="C13" s="116" t="n">
        <x:v>425000</x:v>
      </x:c>
      <x:c r="D13" s="116" t="n">
        <x:v>7000</x:v>
      </x:c>
      <x:c r="E13" s="116" t="n">
        <x:v>2000</x:v>
      </x:c>
      <x:c r="F13" s="116" t="n">
        <x:v>0</x:v>
      </x:c>
      <x:c r="G13" s="20" t="n">
        <x:v>9</x:v>
      </x:c>
      <x:c r="H13" s="20" t="n">
        <x:v>9</x:v>
      </x:c>
      <x:c r="I13" s="20" t="n">
        <x:v>18</x:v>
      </x:c>
      <x:c r="J13" s="20" t="n">
        <x:v>2400</x:v>
      </x:c>
      <x:c r="K13" s="20" t="str">
        <x:v>Yes</x:v>
      </x:c>
      <x:c r="L13" s="20" t="str">
        <x:v>No</x:v>
      </x:c>
      <x:c r="M13" s="20" t="str">
        <x:v>Yes</x:v>
      </x:c>
      <x:c r="N13" s="20" t="str">
        <x:v>Yes</x:v>
      </x:c>
      <x:c r="O13" s="20" t="str">
        <x:v>No</x:v>
      </x:c>
      <x:c r="P13" s="20" t="str">
        <x:v>No</x:v>
      </x:c>
    </x:row>
    <x:row r="14">
      <x:c r="A14" s="20" t="str">
        <x:v>House B</x:v>
      </x:c>
      <x:c r="B14" s="20" t="str">
        <x:v>Strong property; weaker affordability/location</x:v>
      </x:c>
      <x:c r="C14" s="116" t="n">
        <x:v>500000</x:v>
      </x:c>
      <x:c r="D14" s="116" t="n">
        <x:v>8500</x:v>
      </x:c>
      <x:c r="E14" s="116" t="n">
        <x:v>2200</x:v>
      </x:c>
      <x:c r="F14" s="116" t="n">
        <x:v>100</x:v>
      </x:c>
      <x:c r="G14" s="20" t="n">
        <x:v>8</x:v>
      </x:c>
      <x:c r="H14" s="20" t="n">
        <x:v>9</x:v>
      </x:c>
      <x:c r="I14" s="20" t="n">
        <x:v>25</x:v>
      </x:c>
      <x:c r="J14" s="20" t="n">
        <x:v>2700</x:v>
      </x:c>
      <x:c r="K14" s="20" t="str">
        <x:v>Yes</x:v>
      </x:c>
      <x:c r="L14" s="20" t="str">
        <x:v>Yes</x:v>
      </x:c>
      <x:c r="M14" s="20" t="str">
        <x:v>No</x:v>
      </x:c>
      <x:c r="N14" s="20" t="str">
        <x:v>Yes</x:v>
      </x:c>
      <x:c r="O14" s="20" t="str">
        <x:v>Yes</x:v>
      </x:c>
      <x:c r="P14" s="20" t="str">
        <x:v>No</x:v>
      </x:c>
    </x:row>
    <x:row r="15">
      <x:c r="A15" s="20" t="str">
        <x:v>House C</x:v>
      </x:c>
      <x:c r="B15" s="20" t="str">
        <x:v>Moderate + missing must-have for Buyer 1</x:v>
      </x:c>
      <x:c r="C15" s="116" t="n">
        <x:v>550000</x:v>
      </x:c>
      <x:c r="D15" s="116" t="n">
        <x:v>12000</x:v>
      </x:c>
      <x:c r="E15" s="116" t="n">
        <x:v>2400</x:v>
      </x:c>
      <x:c r="F15" s="116" t="n">
        <x:v>0</x:v>
      </x:c>
      <x:c r="G15" s="20" t="n">
        <x:v>7</x:v>
      </x:c>
      <x:c r="H15" s="20" t="n">
        <x:v>8</x:v>
      </x:c>
      <x:c r="I15" s="20" t="n">
        <x:v>35</x:v>
      </x:c>
      <x:c r="J15" s="20" t="n">
        <x:v>2100</x:v>
      </x:c>
      <x:c r="K15" s="20" t="str">
        <x:v>Yes</x:v>
      </x:c>
      <x:c r="L15" s="20" t="str">
        <x:v>No</x:v>
      </x:c>
      <x:c r="M15" s="20" t="str">
        <x:v>Yes</x:v>
      </x:c>
      <x:c r="N15" s="20" t="str">
        <x:v>No</x:v>
      </x:c>
      <x:c r="O15" s="20" t="str">
        <x:v>Yes</x:v>
      </x:c>
      <x:c r="P15" s="20" t="str">
        <x:v>No</x:v>
      </x:c>
    </x:row>
    <x:row r="16">
      <x:c r="A16" s="20" t="str">
        <x:v>House D</x:v>
      </x:c>
      <x:c r="B16" s="20" t="str">
        <x:v>Clearly poor baseline / multiple limits</x:v>
      </x:c>
      <x:c r="C16" s="116" t="n">
        <x:v>625000</x:v>
      </x:c>
      <x:c r="D16" s="116" t="n">
        <x:v>10000</x:v>
      </x:c>
      <x:c r="E16" s="116" t="n">
        <x:v>2600</x:v>
      </x:c>
      <x:c r="F16" s="116" t="n">
        <x:v>150</x:v>
      </x:c>
      <x:c r="G16" s="20" t="n">
        <x:v>6</x:v>
      </x:c>
      <x:c r="H16" s="20" t="n">
        <x:v>7</x:v>
      </x:c>
      <x:c r="I16" s="20" t="n">
        <x:v>50</x:v>
      </x:c>
      <x:c r="J16" s="20" t="n">
        <x:v>1650</x:v>
      </x:c>
      <x:c r="K16" s="20" t="str">
        <x:v>No</x:v>
      </x:c>
      <x:c r="L16" s="20" t="str">
        <x:v>Yes</x:v>
      </x:c>
      <x:c r="M16" s="20" t="str">
        <x:v>Yes</x:v>
      </x:c>
      <x:c r="N16" s="20" t="str">
        <x:v>Yes</x:v>
      </x:c>
      <x:c r="O16" s="20" t="str">
        <x:v>Yes</x:v>
      </x:c>
      <x:c r="P16" s="20" t="str">
        <x:v>No</x:v>
      </x:c>
    </x:row>
    <x:row r="17">
      <x:c r="A17" s="20" t="str">
        <x:v>House E</x:v>
      </x:c>
      <x:c r="B17" s="20" t="str">
        <x:v>Cheap but poor location/property</x:v>
      </x:c>
      <x:c r="C17" s="116" t="n">
        <x:v>350000</x:v>
      </x:c>
      <x:c r="D17" s="116" t="n">
        <x:v>6500</x:v>
      </x:c>
      <x:c r="E17" s="116" t="n">
        <x:v>1900</x:v>
      </x:c>
      <x:c r="F17" s="116" t="n">
        <x:v>0</x:v>
      </x:c>
      <x:c r="G17" s="20" t="n">
        <x:v>5</x:v>
      </x:c>
      <x:c r="H17" s="20" t="n">
        <x:v>5</x:v>
      </x:c>
      <x:c r="I17" s="20" t="n">
        <x:v>55</x:v>
      </x:c>
      <x:c r="J17" s="20" t="n">
        <x:v>1550</x:v>
      </x:c>
      <x:c r="K17" s="20" t="str">
        <x:v>No</x:v>
      </x:c>
      <x:c r="L17" s="20" t="str">
        <x:v>No</x:v>
      </x:c>
      <x:c r="M17" s="20" t="str">
        <x:v>No</x:v>
      </x:c>
      <x:c r="N17" s="20" t="str">
        <x:v>No</x:v>
      </x:c>
      <x:c r="O17" s="20" t="str">
        <x:v>No</x:v>
      </x:c>
      <x:c r="P17" s="20" t="str">
        <x:v>No</x:v>
      </x:c>
    </x:row>
    <x:row r="18">
      <x:c r="A18" s="20" t="str">
        <x:v>House F</x:v>
      </x:c>
      <x:c r="B18" s="20" t="str">
        <x:v>Expensive but exceptional location/property</x:v>
      </x:c>
      <x:c r="C18" s="116" t="n">
        <x:v>675000</x:v>
      </x:c>
      <x:c r="D18" s="116" t="n">
        <x:v>10500</x:v>
      </x:c>
      <x:c r="E18" s="116" t="n">
        <x:v>2800</x:v>
      </x:c>
      <x:c r="F18" s="116" t="n">
        <x:v>125</x:v>
      </x:c>
      <x:c r="G18" s="20" t="n">
        <x:v>10</x:v>
      </x:c>
      <x:c r="H18" s="20" t="n">
        <x:v>10</x:v>
      </x:c>
      <x:c r="I18" s="20" t="n">
        <x:v>12</x:v>
      </x:c>
      <x:c r="J18" s="20" t="n">
        <x:v>3200</x:v>
      </x:c>
      <x:c r="K18" s="20" t="str">
        <x:v>Yes</x:v>
      </x:c>
      <x:c r="L18" s="20" t="str">
        <x:v>Yes</x:v>
      </x:c>
      <x:c r="M18" s="20" t="str">
        <x:v>Yes</x:v>
      </x:c>
      <x:c r="N18" s="20" t="str">
        <x:v>Yes</x:v>
      </x:c>
      <x:c r="O18" s="20" t="str">
        <x:v>Yes</x:v>
      </x:c>
      <x:c r="P18" s="20" t="str">
        <x:v>Yes</x:v>
      </x:c>
    </x:row>
    <x:row r="19">
      <x:c r="A19" s="20" t="str">
        <x:v>House G</x:v>
      </x:c>
      <x:c r="B19" s="20" t="str">
        <x:v>Balanced / no obvious extreme</x:v>
      </x:c>
      <x:c r="C19" s="116" t="n">
        <x:v>475000</x:v>
      </x:c>
      <x:c r="D19" s="116" t="n">
        <x:v>8000</x:v>
      </x:c>
      <x:c r="E19" s="116" t="n">
        <x:v>2100</x:v>
      </x:c>
      <x:c r="F19" s="116" t="n">
        <x:v>50</x:v>
      </x:c>
      <x:c r="G19" s="20" t="n">
        <x:v>8</x:v>
      </x:c>
      <x:c r="H19" s="20" t="n">
        <x:v>8</x:v>
      </x:c>
      <x:c r="I19" s="20" t="n">
        <x:v>28</x:v>
      </x:c>
      <x:c r="J19" s="20" t="n">
        <x:v>2350</x:v>
      </x:c>
      <x:c r="K19" s="20" t="str">
        <x:v>Yes</x:v>
      </x:c>
      <x:c r="L19" s="20" t="str">
        <x:v>No</x:v>
      </x:c>
      <x:c r="M19" s="20" t="str">
        <x:v>Yes</x:v>
      </x:c>
      <x:c r="N19" s="20" t="str">
        <x:v>Yes</x:v>
      </x:c>
      <x:c r="O19" s="20" t="str">
        <x:v>Yes</x:v>
      </x:c>
      <x:c r="P19" s="20" t="str">
        <x:v>No</x:v>
      </x:c>
    </x:row>
    <x:row r="22">
      <x:c r="A22" s="119" t="str">
        <x:v>Buyer</x:v>
      </x:c>
      <x:c r="B22" s="119" t="str">
        <x:v>House</x:v>
      </x:c>
      <x:c r="C22" s="119" t="str">
        <x:v>Price Fit</x:v>
      </x:c>
      <x:c r="D22" s="119" t="str">
        <x:v>Monthly Fit</x:v>
      </x:c>
      <x:c r="E22" s="119" t="str">
        <x:v>Affordability Fit</x:v>
      </x:c>
      <x:c r="F22" s="119" t="str">
        <x:v>School Fit</x:v>
      </x:c>
      <x:c r="G22" s="119" t="str">
        <x:v>Safety Fit</x:v>
      </x:c>
      <x:c r="H22" s="119" t="str">
        <x:v>Commute Fit</x:v>
      </x:c>
      <x:c r="I22" s="119" t="str">
        <x:v>Location Fit</x:v>
      </x:c>
      <x:c r="J22" s="119" t="str">
        <x:v>Size Fit</x:v>
      </x:c>
      <x:c r="K22" s="119" t="str">
        <x:v>Amenities Fit</x:v>
      </x:c>
      <x:c r="L22" s="119" t="str">
        <x:v>Property Fit</x:v>
      </x:c>
      <x:c r="M22" s="119" t="str">
        <x:v>HomeScore</x:v>
      </x:c>
      <x:c r="N22" s="124" t="str">
        <x:v>Raw Score Rank</x:v>
      </x:c>
      <x:c r="O22" s="124" t="str">
        <x:v>Constraint Count</x:v>
      </x:c>
      <x:c r="P22" s="124" t="str">
        <x:v>Result Group</x:v>
      </x:c>
      <x:c r="Q22" s="124" t="str">
        <x:v>Rank within Group</x:v>
      </x:c>
      <x:c r="R22" s="124" t="str">
        <x:v>Test Notes</x:v>
      </x:c>
      <x:c r="S22" s="114" t="str">
        <x:v>Buyer</x:v>
      </x:c>
      <x:c r="T22" s="114" t="str">
        <x:v>Top Scoring House</x:v>
      </x:c>
      <x:c r="U22" s="114" t="str">
        <x:v>Top Score</x:v>
      </x:c>
      <x:c r="V22" s="114" t="str">
        <x:v>Top House Constraint Count</x:v>
      </x:c>
      <x:c r="W22" s="114" t="str">
        <x:v>Validation Question</x:v>
      </x:c>
    </x:row>
    <x:row r="23">
      <x:c r="A23" s="20" t="str">
        <x:v>Buyer 1</x:v>
      </x:c>
      <x:c r="B23" s="20" t="str">
        <x:v>House A</x:v>
      </x:c>
      <x:c r="C23" s="91" t="n">
        <x:f>IF($C$13&lt;=$M$6,100,IF($C$13&gt;=$N$6,0,100*($N$6-$C$13)/($N$6-$M$6)))</x:f>
        <x:v>100</x:v>
      </x:c>
      <x:c r="D23" s="91" t="n">
        <x:f>IF((MAX(0,$C$13-$O$6)*($P$6/12)*(1+$P$6/12)^($Q$6*12)/((1+$P$6/12)^($Q$6*12)-1)+$D$13/12+$E$13/12+$F$13)&lt;=$R$6,100,IF((MAX(0,$C$13-$O$6)*($P$6/12)*(1+$P$6/12)^($Q$6*12)/((1+$P$6/12)^($Q$6*12)-1)+$D$13/12+$E$13/12+$F$13)&gt;=$S$6,0,100*($S$6-(MAX(0,$C$13-$O$6)*($P$6/12)*(1+$P$6/12)^($Q$6*12)/((1+$P$6/12)^($Q$6*12)-1)+$D$13/12+$E$13/12+$F$13))/($S$6-$R$6)))</x:f>
        <x:v>100</x:v>
      </x:c>
      <x:c r="E23" s="91" t="n">
        <x:f>IF(SUM($F$6:$G$6)=0,0,C23*$F$6/SUM($F$6:$G$6)+D23*$G$6/SUM($F$6:$G$6))</x:f>
        <x:v>100</x:v>
      </x:c>
      <x:c r="F23" s="91" t="n">
        <x:f>MAX(0,MIN(100,$G$13*10))</x:f>
        <x:v>90</x:v>
      </x:c>
      <x:c r="G23" s="91" t="n">
        <x:f>MAX(0,MIN(100,$H$13*10))</x:f>
        <x:v>90</x:v>
      </x:c>
      <x:c r="H23" s="91" t="n">
        <x:f>IF($Y$6&lt;=0,0,MAX(0,100-50*$I$13/$Y$6))</x:f>
        <x:v>80</x:v>
      </x:c>
      <x:c r="I23" s="91" t="n">
        <x:f>IF(SUM($H$6:$J$6)=0,0,F23*$H$6/SUM($H$6:$J$6)+G23*$I$6/SUM($H$6:$J$6)+H23*$J$6/SUM($H$6:$J$6))</x:f>
        <x:v>88.18181818181817</x:v>
      </x:c>
      <x:c r="J23" s="91" t="n">
        <x:f>IF($J$13&lt;=$Z$6,0,IF($J$13&gt;=$AA$6,100,100*($J$13-$Z$6)/($AA$6-$Z$6)))</x:f>
        <x:v>85.71428571428571</x:v>
      </x:c>
      <x:c r="K23" s="91" t="n">
        <x:f>IF((IF($AB$6="Must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Have",1,0)))=0,100,100*(IF($K$13="Yes",IF($AB$6="Must Have",2,IF($AB$6="Nice to Have",1,0)),0)+IF($L$13="Yes",IF($AC$6="Must Have",2,IF($AC$6="Nice to Have",1,0)),0)+IF($M$13="Yes",IF($AD$6="Must Have",2,IF($AD$6="Nice to Have",1,0)),0)+IF($N$13="Yes",IF($AE$6="Must Have",2,IF($AE$6="Nice to Have",1,0)),0)+IF($O$13="Yes",IF($AF$6="Must Have",2,IF($AF$6="Nice to Have",1,0)),0)+IF($P$13="Yes",IF($AG$6="Must Have",2,IF($AG$6="Nice to Have",1,0)),0))/(IF($AB$6="Must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Have",1,0))))</x:f>
        <x:v>83.33333333333333</x:v>
      </x:c>
      <x:c r="L23" s="91" t="n">
        <x:f>IF(SUM($K$6:$L$6)=0,0,J23*$K$6/SUM($K$6:$L$6)+K23*$L$6/SUM($K$6:$L$6))</x:f>
        <x:v>84.6938775510204</x:v>
      </x:c>
      <x:c r="M23" s="91" t="n">
        <x:f>IF(SUM($C$6:$E$6)=0,0,E23*$C$6/SUM($C$6:$E$6)+I23*$D$6/SUM($C$6:$E$6)+L23*$E$6/SUM($C$6:$E$6))</x:f>
        <x:v>92.23407544836117</x:v>
      </x:c>
      <x:c r="N23" s="91" t="n">
        <x:f>RANK(M23,$M$23:$M$29,0)</x:f>
        <x:v>1</x:v>
      </x:c>
      <x:c r="O23" s="91" t="n">
        <x:f>IF($C$13&gt;$N$6,1,0)+IF((MAX(0,$C$13-$O$6)*($P$6/12)*(1+$P$6/12)^($Q$6*12)/((1+$P$6/12)^($Q$6*12)-1)+$D$13/12+$E$13/12+$F$13)&gt;$S$6,1,0)+IF($G$13&lt;$U$6,1,0)+IF($H$13&lt;$W$6,1,0)+IF($I$13&gt;$Y$6,1,0)+IF($J$13&lt;$Z$6,1,0)+IF(AND($AB$6="Must Have",$K$13&lt;&gt;"Yes"),1,0)+IF(AND($AC$6="Must Have",$L$13&lt;&gt;"Yes"),1,0)+IF(AND($AD$6="Must Have",$M$13&lt;&gt;"Yes"),1,0)+IF(AND($AE$6="Must Have",$N$13&lt;&gt;"Yes"),1,0)+IF(AND($AF$6="Must Have",$O$13&lt;&gt;"Yes"),1,0)+IF(AND($AG$6="Must Have",$P$13&lt;&gt;"Yes"),1,0)</x:f>
        <x:v>0</x:v>
      </x:c>
      <x:c r="P23" s="20" t="str">
        <x:f>IF(O23=0,"Best Matches","Other Homes to Consider")</x:f>
        <x:v>Best Matches</x:v>
      </x:c>
      <x:c r="Q23" s="20" t="n">
        <x:f>IF(O23=0,COUNTIFS($O$23:$O$29,0,$M$23:$M$29,"&gt;"&amp;M23)+1,COUNTIFS($O$23:$O$29,"&gt;0",$M$23:$M$29,"&gt;"&amp;M23)+1)</x:f>
        <x:v>1</x:v>
      </x:c>
      <x:c r="R23" s="20" t="str">
        <x:v>Excellent overall baseline</x:v>
      </x:c>
      <x:c r="S23" s="20" t="str">
        <x:v>Buyer 1</x:v>
      </x:c>
      <x:c r="T23" s="20" t="str">
        <x:f>INDEX($B$23:$B$29,MATCH(MAX($M$23:$M$29),$M$23:$M$29,0))</x:f>
        <x:v>House A</x:v>
      </x:c>
      <x:c r="U23" s="91" t="n">
        <x:f>MAX($M$23:$M$29)</x:f>
        <x:v>92.23407544836117</x:v>
      </x:c>
      <x:c r="V23" s="20" t="n">
        <x:f>INDEX($O$23:$O$29,MATCH(MAX($M$23:$M$29),$M$23:$M$29,0))</x:f>
        <x:v>0</x:v>
      </x:c>
      <x:c r="W23" s="20" t="str">
        <x:v>Does baseline behave logically?</x:v>
      </x:c>
    </x:row>
    <x:row r="24">
      <x:c r="A24" s="20" t="str">
        <x:v>Buyer 1</x:v>
      </x:c>
      <x:c r="B24" s="20" t="str">
        <x:v>House B</x:v>
      </x:c>
      <x:c r="C24" s="91" t="n">
        <x:f>IF($C$14&lt;=$M$6,100,IF($C$14&gt;=$N$6,0,100*($N$6-$C$14)/($N$6-$M$6)))</x:f>
        <x:v>66.66666666666667</x:v>
      </x:c>
      <x:c r="D24" s="91" t="n">
        <x:f>IF((MAX(0,$C$14-$O$6)*($P$6/12)*(1+$P$6/12)^($Q$6*12)/((1+$P$6/12)^($Q$6*12)-1)+$D$14/12+$E$14/12+$F$14)&lt;=$R$6,100,IF((MAX(0,$C$14-$O$6)*($P$6/12)*(1+$P$6/12)^($Q$6*12)/((1+$P$6/12)^($Q$6*12)-1)+$D$14/12+$E$14/12+$F$14)&gt;=$S$6,0,100*($S$6-(MAX(0,$C$14-$O$6)*($P$6/12)*(1+$P$6/12)^($Q$6*12)/((1+$P$6/12)^($Q$6*12)-1)+$D$14/12+$E$14/12+$F$14))/($S$6-$R$6)))</x:f>
        <x:v>100</x:v>
      </x:c>
      <x:c r="E24" s="91" t="n">
        <x:f>IF(SUM($F$6:$G$6)=0,0,C24*$F$6/SUM($F$6:$G$6)+D24*$G$6/SUM($F$6:$G$6))</x:f>
        <x:v>87.5</x:v>
      </x:c>
      <x:c r="F24" s="91" t="n">
        <x:f>MAX(0,MIN(100,$G$14*10))</x:f>
        <x:v>80</x:v>
      </x:c>
      <x:c r="G24" s="91" t="n">
        <x:f>MAX(0,MIN(100,$H$14*10))</x:f>
        <x:v>90</x:v>
      </x:c>
      <x:c r="H24" s="91" t="n">
        <x:f>IF($Y$6&lt;=0,0,MAX(0,100-50*$I$14/$Y$6))</x:f>
        <x:v>72.22222222222223</x:v>
      </x:c>
      <x:c r="I24" s="91" t="n">
        <x:f>IF(SUM($H$6:$J$6)=0,0,F24*$H$6/SUM($H$6:$J$6)+G24*$I$6/SUM($H$6:$J$6)+H24*$J$6/SUM($H$6:$J$6))</x:f>
        <x:v>82.22222222222223</x:v>
      </x:c>
      <x:c r="J24" s="91" t="n">
        <x:f>IF($J$14&lt;=$Z$6,0,IF($J$14&gt;=$AA$6,100,100*($J$14-$Z$6)/($AA$6-$Z$6)))</x:f>
        <x:v>100</x:v>
      </x:c>
      <x:c r="K24" s="91" t="n">
        <x:f>IF((IF($AB$6="Must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Have",1,0)))=0,100,100*(IF($K$14="Yes",IF($AB$6="Must Have",2,IF($AB$6="Nice to Have",1,0)),0)+IF($L$14="Yes",IF($AC$6="Must Have",2,IF($AC$6="Nice to Have",1,0)),0)+IF($M$14="Yes",IF($AD$6="Must Have",2,IF($AD$6="Nice to Have",1,0)),0)+IF($N$14="Yes",IF($AE$6="Must Have",2,IF($AE$6="Nice to Have",1,0)),0)+IF($O$14="Yes",IF($AF$6="Must Have",2,IF($AF$6="Nice to Have",1,0)),0)+IF($P$14="Yes",IF($AG$6="Must Have",2,IF($AG$6="Nice to Have",1,0)),0))/(IF($AB$6="Must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Have",1,0))))</x:f>
        <x:v>83.33333333333333</x:v>
      </x:c>
      <x:c r="L24" s="91" t="n">
        <x:f>IF(SUM($K$6:$L$6)=0,0,J24*$K$6/SUM($K$6:$L$6)+K24*$L$6/SUM($K$6:$L$6))</x:f>
        <x:v>92.85714285714286</x:v>
      </x:c>
      <x:c r="M24" s="91" t="n">
        <x:f>IF(SUM($C$6:$E$6)=0,0,E24*$C$6/SUM($C$6:$E$6)+I24*$D$6/SUM($C$6:$E$6)+L24*$E$6/SUM($C$6:$E$6))</x:f>
        <x:v>87.08002645502646</x:v>
      </x:c>
      <x:c r="N24" s="91" t="n">
        <x:f>RANK(M24,$M$23:$M$29,0)</x:f>
        <x:v>2</x:v>
      </x:c>
      <x:c r="O24" s="91" t="n">
        <x:f>IF($C$14&gt;$N$6,1,0)+IF((MAX(0,$C$14-$O$6)*($P$6/12)*(1+$P$6/12)^($Q$6*12)/((1+$P$6/12)^($Q$6*12)-1)+$D$14/12+$E$14/12+$F$14)&gt;$S$6,1,0)+IF($G$14&lt;$U$6,1,0)+IF($H$14&lt;$W$6,1,0)+IF($I$14&gt;$Y$6,1,0)+IF($J$14&lt;$Z$6,1,0)+IF(AND($AB$6="Must Have",$K$14&lt;&gt;"Yes"),1,0)+IF(AND($AC$6="Must Have",$L$14&lt;&gt;"Yes"),1,0)+IF(AND($AD$6="Must Have",$M$14&lt;&gt;"Yes"),1,0)+IF(AND($AE$6="Must Have",$N$14&lt;&gt;"Yes"),1,0)+IF(AND($AF$6="Must Have",$O$14&lt;&gt;"Yes"),1,0)+IF(AND($AG$6="Must Have",$P$14&lt;&gt;"Yes"),1,0)</x:f>
        <x:v>0</x:v>
      </x:c>
      <x:c r="P24" s="20" t="str">
        <x:f>IF(O24=0,"Best Matches","Other Homes to Consider")</x:f>
        <x:v>Best Matches</x:v>
      </x:c>
      <x:c r="Q24" s="20" t="n">
        <x:f>IF(O24=0,COUNTIFS($O$23:$O$29,0,$M$23:$M$29,"&gt;"&amp;M24)+1,COUNTIFS($O$23:$O$29,"&gt;0",$M$23:$M$29,"&gt;"&amp;M24)+1)</x:f>
        <x:v>2</x:v>
      </x:c>
      <x:c r="R24" s="20" t="str">
        <x:v>Strong property; weaker affordability/location</x:v>
      </x:c>
      <x:c r="S24" s="20" t="str">
        <x:v>Buyer 2</x:v>
      </x:c>
      <x:c r="T24" s="20" t="str">
        <x:f>INDEX($B$30:$B$36,MATCH(MAX($M$30:$M$36),$M$30:$M$36,0))</x:f>
        <x:v>House F</x:v>
      </x:c>
      <x:c r="U24" s="91" t="n">
        <x:f>MAX($M$30:$M$36)</x:f>
        <x:v>87.77725240132997</x:v>
      </x:c>
      <x:c r="V24" s="20" t="n">
        <x:f>INDEX($O$30:$O$36,MATCH(MAX($M$30:$M$36),$M$30:$M$36,0))</x:f>
        <x:v>0</x:v>
      </x:c>
      <x:c r="W24" s="20" t="str">
        <x:v>Does location priority change the ranking?</x:v>
      </x:c>
    </x:row>
    <x:row r="25">
      <x:c r="A25" s="20" t="str">
        <x:v>Buyer 1</x:v>
      </x:c>
      <x:c r="B25" s="20" t="str">
        <x:v>House C</x:v>
      </x:c>
      <x:c r="C25" s="91" t="n">
        <x:f>IF($C$15&lt;=$M$6,100,IF($C$15&gt;=$N$6,0,100*($N$6-$C$15)/($N$6-$M$6)))</x:f>
        <x:v>33.333333333333336</x:v>
      </x:c>
      <x:c r="D25" s="91" t="n">
        <x:f>IF((MAX(0,$C$15-$O$6)*($P$6/12)*(1+$P$6/12)^($Q$6*12)/((1+$P$6/12)^($Q$6*12)-1)+$D$15/12+$E$15/12+$F$15)&lt;=$R$6,100,IF((MAX(0,$C$15-$O$6)*($P$6/12)*(1+$P$6/12)^($Q$6*12)/((1+$P$6/12)^($Q$6*12)-1)+$D$15/12+$E$15/12+$F$15)&gt;=$S$6,0,100*($S$6-(MAX(0,$C$15-$O$6)*($P$6/12)*(1+$P$6/12)^($Q$6*12)/((1+$P$6/12)^($Q$6*12)-1)+$D$15/12+$E$15/12+$F$15))/($S$6-$R$6)))</x:f>
        <x:v>52.92725980812292</x:v>
      </x:c>
      <x:c r="E25" s="91" t="n">
        <x:f>IF(SUM($F$6:$G$6)=0,0,C25*$F$6/SUM($F$6:$G$6)+D25*$G$6/SUM($F$6:$G$6))</x:f>
        <x:v>45.57953738007682</x:v>
      </x:c>
      <x:c r="F25" s="91" t="n">
        <x:f>MAX(0,MIN(100,$G$15*10))</x:f>
        <x:v>70</x:v>
      </x:c>
      <x:c r="G25" s="91" t="n">
        <x:f>MAX(0,MIN(100,$H$15*10))</x:f>
        <x:v>80</x:v>
      </x:c>
      <x:c r="H25" s="91" t="n">
        <x:f>IF($Y$6&lt;=0,0,MAX(0,100-50*$I$15/$Y$6))</x:f>
        <x:v>61.111111111111114</x:v>
      </x:c>
      <x:c r="I25" s="91" t="n">
        <x:f>IF(SUM($H$6:$J$6)=0,0,F25*$H$6/SUM($H$6:$J$6)+G25*$I$6/SUM($H$6:$J$6)+H25*$J$6/SUM($H$6:$J$6))</x:f>
        <x:v>72.02020202020202</x:v>
      </x:c>
      <x:c r="J25" s="91" t="n">
        <x:f>IF($J$15&lt;=$Z$6,0,IF($J$15&gt;=$AA$6,100,100*($J$15-$Z$6)/($AA$6-$Z$6)))</x:f>
        <x:v>42.857142857142854</x:v>
      </x:c>
      <x:c r="K25" s="91" t="n">
        <x:f>IF((IF($AB$6="Must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Have",1,0)))=0,100,100*(IF($K$15="Yes",IF($AB$6="Must Have",2,IF($AB$6="Nice to Have",1,0)),0)+IF($L$15="Yes",IF($AC$6="Must Have",2,IF($AC$6="Nice to Have",1,0)),0)+IF($M$15="Yes",IF($AD$6="Must Have",2,IF($AD$6="Nice to Have",1,0)),0)+IF($N$15="Yes",IF($AE$6="Must Have",2,IF($AE$6="Nice to Have",1,0)),0)+IF($O$15="Yes",IF($AF$6="Must Have",2,IF($AF$6="Nice to Have",1,0)),0)+IF($P$15="Yes",IF($AG$6="Must Have",2,IF($AG$6="Nice to Have",1,0)),0))/(IF($AB$6="Must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Have",1,0))))</x:f>
        <x:v>66.66666666666667</x:v>
      </x:c>
      <x:c r="L25" s="91" t="n">
        <x:f>IF(SUM($K$6:$L$6)=0,0,J25*$K$6/SUM($K$6:$L$6)+K25*$L$6/SUM($K$6:$L$6))</x:f>
        <x:v>53.06122448979592</x:v>
      </x:c>
      <x:c r="M25" s="91" t="n">
        <x:f>IF(SUM($C$6:$E$6)=0,0,E25*$C$6/SUM($C$6:$E$6)+I25*$D$6/SUM($C$6:$E$6)+L25*$E$6/SUM($C$6:$E$6))</x:f>
        <x:v>56.26351403754833</x:v>
      </x:c>
      <x:c r="N25" s="91" t="n">
        <x:f>RANK(M25,$M$23:$M$29,0)</x:f>
        <x:v>6</x:v>
      </x:c>
      <x:c r="O25" s="91" t="n">
        <x:f>IF($C$15&gt;$N$6,1,0)+IF((MAX(0,$C$15-$O$6)*($P$6/12)*(1+$P$6/12)^($Q$6*12)/((1+$P$6/12)^($Q$6*12)-1)+$D$15/12+$E$15/12+$F$15)&gt;$S$6,1,0)+IF($G$15&lt;$U$6,1,0)+IF($H$15&lt;$W$6,1,0)+IF($I$15&gt;$Y$6,1,0)+IF($J$15&lt;$Z$6,1,0)+IF(AND($AB$6="Must Have",$K$15&lt;&gt;"Yes"),1,0)+IF(AND($AC$6="Must Have",$L$15&lt;&gt;"Yes"),1,0)+IF(AND($AD$6="Must Have",$M$15&lt;&gt;"Yes"),1,0)+IF(AND($AE$6="Must Have",$N$15&lt;&gt;"Yes"),1,0)+IF(AND($AF$6="Must Have",$O$15&lt;&gt;"Yes"),1,0)+IF(AND($AG$6="Must Have",$P$15&lt;&gt;"Yes"),1,0)</x:f>
        <x:v>1</x:v>
      </x:c>
      <x:c r="P25" s="20" t="str">
        <x:f>IF(O25=0,"Best Matches","Other Homes to Consider")</x:f>
        <x:v>Other Homes to Consider</x:v>
      </x:c>
      <x:c r="Q25" s="20" t="n">
        <x:f>IF(O25=0,COUNTIFS($O$23:$O$29,0,$M$23:$M$29,"&gt;"&amp;M25)+1,COUNTIFS($O$23:$O$29,"&gt;0",$M$23:$M$29,"&gt;"&amp;M25)+1)</x:f>
        <x:v>3</x:v>
      </x:c>
      <x:c r="R25" s="20" t="str">
        <x:v>Moderate + missing must-have for Buyer 1</x:v>
      </x:c>
      <x:c r="S25" s="20" t="str">
        <x:v>Buyer 3</x:v>
      </x:c>
      <x:c r="T25" s="20" t="str">
        <x:f>INDEX($B$37:$B$43,MATCH(MAX($M$37:$M$43),$M$37:$M$43,0))</x:f>
        <x:v>House A</x:v>
      </x:c>
      <x:c r="U25" s="91" t="n">
        <x:f>MAX($M$37:$M$43)</x:f>
        <x:v>91.86868686868686</x:v>
      </x:c>
      <x:c r="V25" s="20" t="n">
        <x:f>INDEX($O$37:$O$43,MATCH(MAX($M$37:$M$43),$M$37:$M$43,0))</x:f>
        <x:v>0</x:v>
      </x:c>
      <x:c r="W25" s="20" t="str">
        <x:v>Does affordability dominate appropriately?</x:v>
      </x:c>
    </x:row>
    <x:row r="26">
      <x:c r="A26" s="20" t="str">
        <x:v>Buyer 1</x:v>
      </x:c>
      <x:c r="B26" s="20" t="str">
        <x:v>House D</x:v>
      </x:c>
      <x:c r="C26" s="91" t="n">
        <x:f>IF($C$16&lt;=$M$6,100,IF($C$16&gt;=$N$6,0,100*($N$6-$C$16)/($N$6-$M$6)))</x:f>
        <x:v>0</x:v>
      </x:c>
      <x:c r="D26" s="91" t="n">
        <x:f>IF((MAX(0,$C$16-$O$6)*($P$6/12)*(1+$P$6/12)^($Q$6*12)/((1+$P$6/12)^($Q$6*12)-1)+$D$16/12+$E$16/12+$F$16)&lt;=$R$6,100,IF((MAX(0,$C$16-$O$6)*($P$6/12)*(1+$P$6/12)^($Q$6*12)/((1+$P$6/12)^($Q$6*12)-1)+$D$16/12+$E$16/12+$F$16)&gt;=$S$6,0,100*($S$6-(MAX(0,$C$16-$O$6)*($P$6/12)*(1+$P$6/12)^($Q$6*12)/((1+$P$6/12)^($Q$6*12)-1)+$D$16/12+$E$16/12+$F$16))/($S$6-$R$6)))</x:f>
        <x:v>6.748469776143429</x:v>
      </x:c>
      <x:c r="E26" s="91" t="n">
        <x:f>IF(SUM($F$6:$G$6)=0,0,C26*$F$6/SUM($F$6:$G$6)+D26*$G$6/SUM($F$6:$G$6))</x:f>
        <x:v>4.217793610089643</x:v>
      </x:c>
      <x:c r="F26" s="91" t="n">
        <x:f>MAX(0,MIN(100,$G$16*10))</x:f>
        <x:v>60</x:v>
      </x:c>
      <x:c r="G26" s="91" t="n">
        <x:f>MAX(0,MIN(100,$H$16*10))</x:f>
        <x:v>70</x:v>
      </x:c>
      <x:c r="H26" s="91" t="n">
        <x:f>IF($Y$6&lt;=0,0,MAX(0,100-50*$I$16/$Y$6))</x:f>
        <x:v>44.44444444444444</x:v>
      </x:c>
      <x:c r="I26" s="91" t="n">
        <x:f>IF(SUM($H$6:$J$6)=0,0,F26*$H$6/SUM($H$6:$J$6)+G26*$I$6/SUM($H$6:$J$6)+H26*$J$6/SUM($H$6:$J$6))</x:f>
        <x:v>60.80808080808081</x:v>
      </x:c>
      <x:c r="J26" s="91" t="n">
        <x:f>IF($J$16&lt;=$Z$6,0,IF($J$16&gt;=$AA$6,100,100*($J$16-$Z$6)/($AA$6-$Z$6)))</x:f>
        <x:v>0</x:v>
      </x:c>
      <x:c r="K26" s="91" t="n">
        <x:f>IF((IF($AB$6="Must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Have",1,0)))=0,100,100*(IF($K$16="Yes",IF($AB$6="Must Have",2,IF($AB$6="Nice to Have",1,0)),0)+IF($L$16="Yes",IF($AC$6="Must Have",2,IF($AC$6="Nice to Have",1,0)),0)+IF($M$16="Yes",IF($AD$6="Must Have",2,IF($AD$6="Nice to Have",1,0)),0)+IF($N$16="Yes",IF($AE$6="Must Have",2,IF($AE$6="Nice to Have",1,0)),0)+IF($O$16="Yes",IF($AF$6="Must Have",2,IF($AF$6="Nice to Have",1,0)),0)+IF($P$16="Yes",IF($AG$6="Must Have",2,IF($AG$6="Nice to Have",1,0)),0))/(IF($AB$6="Must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Have",1,0))))</x:f>
        <x:v>66.66666666666667</x:v>
      </x:c>
      <x:c r="L26" s="91" t="n">
        <x:f>IF(SUM($K$6:$L$6)=0,0,J26*$K$6/SUM($K$6:$L$6)+K26*$L$6/SUM($K$6:$L$6))</x:f>
        <x:v>28.571428571428573</x:v>
      </x:c>
      <x:c r="M26" s="91" t="n">
        <x:f>IF(SUM($C$6:$E$6)=0,0,E26*$C$6/SUM($C$6:$E$6)+I26*$D$6/SUM($C$6:$E$6)+L26*$E$6/SUM($C$6:$E$6))</x:f>
        <x:v>29.16963141642143</x:v>
      </x:c>
      <x:c r="N26" s="91" t="n">
        <x:f>RANK(M26,$M$23:$M$29,0)</x:f>
        <x:v>7</x:v>
      </x:c>
      <x:c r="O26" s="91" t="n">
        <x:f>IF($C$16&gt;$N$6,1,0)+IF((MAX(0,$C$16-$O$6)*($P$6/12)*(1+$P$6/12)^($Q$6*12)/((1+$P$6/12)^($Q$6*12)-1)+$D$16/12+$E$16/12+$F$16)&gt;$S$6,1,0)+IF($G$16&lt;$U$6,1,0)+IF($H$16&lt;$W$6,1,0)+IF($I$16&gt;$Y$6,1,0)+IF($J$16&lt;$Z$6,1,0)+IF(AND($AB$6="Must Have",$K$16&lt;&gt;"Yes"),1,0)+IF(AND($AC$6="Must Have",$L$16&lt;&gt;"Yes"),1,0)+IF(AND($AD$6="Must Have",$M$16&lt;&gt;"Yes"),1,0)+IF(AND($AE$6="Must Have",$N$16&lt;&gt;"Yes"),1,0)+IF(AND($AF$6="Must Have",$O$16&lt;&gt;"Yes"),1,0)+IF(AND($AG$6="Must Have",$P$16&lt;&gt;"Yes"),1,0)</x:f>
        <x:v>4</x:v>
      </x:c>
      <x:c r="P26" s="20" t="str">
        <x:f>IF(O26=0,"Best Matches","Other Homes to Consider")</x:f>
        <x:v>Other Homes to Consider</x:v>
      </x:c>
      <x:c r="Q26" s="20" t="n">
        <x:f>IF(O26=0,COUNTIFS($O$23:$O$29,0,$M$23:$M$29,"&gt;"&amp;M26)+1,COUNTIFS($O$23:$O$29,"&gt;0",$M$23:$M$29,"&gt;"&amp;M26)+1)</x:f>
        <x:v>4</x:v>
      </x:c>
      <x:c r="R26" s="20" t="str">
        <x:v>Clearly poor baseline / multiple limits</x:v>
      </x:c>
      <x:c r="S26" s="20" t="str">
        <x:v>Buyer 4</x:v>
      </x:c>
      <x:c r="T26" s="20" t="str">
        <x:f>INDEX($B$44:$B$50,MATCH(MAX($M$44:$M$50),$M$44:$M$50,0))</x:f>
        <x:v>House F</x:v>
      </x:c>
      <x:c r="U26" s="91" t="n">
        <x:f>MAX($M$44:$M$50)</x:f>
        <x:v>93.76666666666667</x:v>
      </x:c>
      <x:c r="V26" s="20" t="n">
        <x:f>INDEX($O$44:$O$50,MATCH(MAX($M$44:$M$50),$M$44:$M$50,0))</x:f>
        <x:v>0</x:v>
      </x:c>
      <x:c r="W26" s="20" t="str">
        <x:v>Can property strengths overpower hard constraints?</x:v>
      </x:c>
    </x:row>
    <x:row r="27">
      <x:c r="A27" s="20" t="str">
        <x:v>Buyer 1</x:v>
      </x:c>
      <x:c r="B27" s="20" t="str">
        <x:v>House E</x:v>
      </x:c>
      <x:c r="C27" s="91" t="n">
        <x:f>IF($C$17&lt;=$M$6,100,IF($C$17&gt;=$N$6,0,100*($N$6-$C$17)/($N$6-$M$6)))</x:f>
        <x:v>100</x:v>
      </x:c>
      <x:c r="D27" s="91" t="n">
        <x:f>IF((MAX(0,$C$17-$O$6)*($P$6/12)*(1+$P$6/12)^($Q$6*12)/((1+$P$6/12)^($Q$6*12)-1)+$D$17/12+$E$17/12+$F$17)&lt;=$R$6,100,IF((MAX(0,$C$17-$O$6)*($P$6/12)*(1+$P$6/12)^($Q$6*12)/((1+$P$6/12)^($Q$6*12)-1)+$D$17/12+$E$17/12+$F$17)&gt;=$S$6,0,100*($S$6-(MAX(0,$C$17-$O$6)*($P$6/12)*(1+$P$6/12)^($Q$6*12)/((1+$P$6/12)^($Q$6*12)-1)+$D$17/12+$E$17/12+$F$17))/($S$6-$R$6)))</x:f>
        <x:v>100</x:v>
      </x:c>
      <x:c r="E27" s="91" t="n">
        <x:f>IF(SUM($F$6:$G$6)=0,0,C27*$F$6/SUM($F$6:$G$6)+D27*$G$6/SUM($F$6:$G$6))</x:f>
        <x:v>100</x:v>
      </x:c>
      <x:c r="F27" s="91" t="n">
        <x:f>MAX(0,MIN(100,$G$17*10))</x:f>
        <x:v>50</x:v>
      </x:c>
      <x:c r="G27" s="91" t="n">
        <x:f>MAX(0,MIN(100,$H$17*10))</x:f>
        <x:v>50</x:v>
      </x:c>
      <x:c r="H27" s="91" t="n">
        <x:f>IF($Y$6&lt;=0,0,MAX(0,100-50*$I$17/$Y$6))</x:f>
        <x:v>38.888888888888886</x:v>
      </x:c>
      <x:c r="I27" s="91" t="n">
        <x:f>IF(SUM($H$6:$J$6)=0,0,F27*$H$6/SUM($H$6:$J$6)+G27*$I$6/SUM($H$6:$J$6)+H27*$J$6/SUM($H$6:$J$6))</x:f>
        <x:v>47.97979797979798</x:v>
      </x:c>
      <x:c r="J27" s="91" t="n">
        <x:f>IF($J$17&lt;=$Z$6,0,IF($J$17&gt;=$AA$6,100,100*($J$17-$Z$6)/($AA$6-$Z$6)))</x:f>
        <x:v>0</x:v>
      </x:c>
      <x:c r="K27" s="91" t="n">
        <x:f>IF((IF($AB$6="Must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Have",1,0)))=0,100,100*(IF($K$17="Yes",IF($AB$6="Must Have",2,IF($AB$6="Nice to Have",1,0)),0)+IF($L$17="Yes",IF($AC$6="Must Have",2,IF($AC$6="Nice to Have",1,0)),0)+IF($M$17="Yes",IF($AD$6="Must Have",2,IF($AD$6="Nice to Have",1,0)),0)+IF($N$17="Yes",IF($AE$6="Must Have",2,IF($AE$6="Nice to Have",1,0)),0)+IF($O$17="Yes",IF($AF$6="Must Have",2,IF($AF$6="Nice to Have",1,0)),0)+IF($P$17="Yes",IF($AG$6="Must Have",2,IF($AG$6="Nice to Have",1,0)),0))/(IF($AB$6="Must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Have",1,0))))</x:f>
        <x:v>0</x:v>
      </x:c>
      <x:c r="L27" s="91" t="n">
        <x:f>IF(SUM($K$6:$L$6)=0,0,J27*$K$6/SUM($K$6:$L$6)+K27*$L$6/SUM($K$6:$L$6))</x:f>
        <x:v>0</x:v>
      </x:c>
      <x:c r="M27" s="91" t="n">
        <x:f>IF(SUM($C$6:$E$6)=0,0,E27*$C$6/SUM($C$6:$E$6)+I27*$D$6/SUM($C$6:$E$6)+L27*$E$6/SUM($C$6:$E$6))</x:f>
        <x:v>57.65993265993266</x:v>
      </x:c>
      <x:c r="N27" s="91" t="n">
        <x:f>RANK(M27,$M$23:$M$29,0)</x:f>
        <x:v>4</x:v>
      </x:c>
      <x:c r="O27" s="91" t="n">
        <x:f>IF($C$17&gt;$N$6,1,0)+IF((MAX(0,$C$17-$O$6)*($P$6/12)*(1+$P$6/12)^($Q$6*12)/((1+$P$6/12)^($Q$6*12)-1)+$D$17/12+$E$17/12+$F$17)&gt;$S$6,1,0)+IF($G$17&lt;$U$6,1,0)+IF($H$17&lt;$W$6,1,0)+IF($I$17&gt;$Y$6,1,0)+IF($J$17&lt;$Z$6,1,0)+IF(AND($AB$6="Must Have",$K$17&lt;&gt;"Yes"),1,0)+IF(AND($AC$6="Must Have",$L$17&lt;&gt;"Yes"),1,0)+IF(AND($AD$6="Must Have",$M$17&lt;&gt;"Yes"),1,0)+IF(AND($AE$6="Must Have",$N$17&lt;&gt;"Yes"),1,0)+IF(AND($AF$6="Must Have",$O$17&lt;&gt;"Yes"),1,0)+IF(AND($AG$6="Must Have",$P$17&lt;&gt;"Yes"),1,0)</x:f>
        <x:v>6</x:v>
      </x:c>
      <x:c r="P27" s="20" t="str">
        <x:f>IF(O27=0,"Best Matches","Other Homes to Consider")</x:f>
        <x:v>Other Homes to Consider</x:v>
      </x:c>
      <x:c r="Q27" s="20" t="n">
        <x:f>IF(O27=0,COUNTIFS($O$23:$O$29,0,$M$23:$M$29,"&gt;"&amp;M27)+1,COUNTIFS($O$23:$O$29,"&gt;0",$M$23:$M$29,"&gt;"&amp;M27)+1)</x:f>
        <x:v>1</x:v>
      </x:c>
      <x:c r="R27" s="20" t="str">
        <x:v>Cheap but poor location/property</x:v>
      </x:c>
    </x:row>
    <x:row r="28">
      <x:c r="A28" s="20" t="str">
        <x:v>Buyer 1</x:v>
      </x:c>
      <x:c r="B28" s="20" t="str">
        <x:v>House F</x:v>
      </x:c>
      <x:c r="C28" s="91" t="n">
        <x:f>IF($C$18&lt;=$M$6,100,IF($C$18&gt;=$N$6,0,100*($N$6-$C$18)/($N$6-$M$6)))</x:f>
        <x:v>0</x:v>
      </x:c>
      <x:c r="D28" s="91" t="n">
        <x:f>IF((MAX(0,$C$18-$O$6)*($P$6/12)*(1+$P$6/12)^($Q$6*12)/((1+$P$6/12)^($Q$6*12)-1)+$D$18/12+$E$18/12+$F$18)&lt;=$R$6,100,IF((MAX(0,$C$18-$O$6)*($P$6/12)*(1+$P$6/12)^($Q$6*12)/((1+$P$6/12)^($Q$6*12)-1)+$D$18/12+$E$18/12+$F$18)&gt;=$S$6,0,100*($S$6-(MAX(0,$C$18-$O$6)*($P$6/12)*(1+$P$6/12)^($Q$6*12)/((1+$P$6/12)^($Q$6*12)-1)+$D$18/12+$E$18/12+$F$18))/($S$6-$R$6)))</x:f>
        <x:v>0</x:v>
      </x:c>
      <x:c r="E28" s="91" t="n">
        <x:f>IF(SUM($F$6:$G$6)=0,0,C28*$F$6/SUM($F$6:$G$6)+D28*$G$6/SUM($F$6:$G$6))</x:f>
        <x:v>0</x:v>
      </x:c>
      <x:c r="F28" s="91" t="n">
        <x:f>MAX(0,MIN(100,$G$18*10))</x:f>
        <x:v>100</x:v>
      </x:c>
      <x:c r="G28" s="91" t="n">
        <x:f>MAX(0,MIN(100,$H$18*10))</x:f>
        <x:v>100</x:v>
      </x:c>
      <x:c r="H28" s="91" t="n">
        <x:f>IF($Y$6&lt;=0,0,MAX(0,100-50*$I$18/$Y$6))</x:f>
        <x:v>86.66666666666667</x:v>
      </x:c>
      <x:c r="I28" s="91" t="n">
        <x:f>IF(SUM($H$6:$J$6)=0,0,F28*$H$6/SUM($H$6:$J$6)+G28*$I$6/SUM($H$6:$J$6)+H28*$J$6/SUM($H$6:$J$6))</x:f>
        <x:v>97.57575757575756</x:v>
      </x:c>
      <x:c r="J28" s="91" t="n">
        <x:f>IF($J$18&lt;=$Z$6,0,IF($J$18&gt;=$AA$6,100,100*($J$18-$Z$6)/($AA$6-$Z$6)))</x:f>
        <x:v>100</x:v>
      </x:c>
      <x:c r="K28" s="91" t="n">
        <x:f>IF((IF($AB$6="Must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Have",1,0)))=0,100,100*(IF($K$18="Yes",IF($AB$6="Must Have",2,IF($AB$6="Nice to Have",1,0)),0)+IF($L$18="Yes",IF($AC$6="Must Have",2,IF($AC$6="Nice to Have",1,0)),0)+IF($M$18="Yes",IF($AD$6="Must Have",2,IF($AD$6="Nice to Have",1,0)),0)+IF($N$18="Yes",IF($AE$6="Must Have",2,IF($AE$6="Nice to Have",1,0)),0)+IF($O$18="Yes",IF($AF$6="Must Have",2,IF($AF$6="Nice to Have",1,0)),0)+IF($P$18="Yes",IF($AG$6="Must Have",2,IF($AG$6="Nice to Have",1,0)),0))/(IF($AB$6="Must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Have",1,0))))</x:f>
        <x:v>100</x:v>
      </x:c>
      <x:c r="L28" s="91" t="n">
        <x:f>IF(SUM($K$6:$L$6)=0,0,J28*$K$6/SUM($K$6:$L$6)+K28*$L$6/SUM($K$6:$L$6))</x:f>
        <x:v>100</x:v>
      </x:c>
      <x:c r="M28" s="91" t="n">
        <x:f>IF(SUM($C$6:$E$6)=0,0,E28*$C$6/SUM($C$6:$E$6)+I28*$D$6/SUM($C$6:$E$6)+L28*$E$6/SUM($C$6:$E$6))</x:f>
        <x:v>57.52525252525252</x:v>
      </x:c>
      <x:c r="N28" s="91" t="n">
        <x:f>RANK(M28,$M$23:$M$29,0)</x:f>
        <x:v>5</x:v>
      </x:c>
      <x:c r="O28" s="91" t="n">
        <x:f>IF($C$18&gt;$N$6,1,0)+IF((MAX(0,$C$18-$O$6)*($P$6/12)*(1+$P$6/12)^($Q$6*12)/((1+$P$6/12)^($Q$6*12)-1)+$D$18/12+$E$18/12+$F$18)&gt;$S$6,1,0)+IF($G$18&lt;$U$6,1,0)+IF($H$18&lt;$W$6,1,0)+IF($I$18&gt;$Y$6,1,0)+IF($J$18&lt;$Z$6,1,0)+IF(AND($AB$6="Must Have",$K$18&lt;&gt;"Yes"),1,0)+IF(AND($AC$6="Must Have",$L$18&lt;&gt;"Yes"),1,0)+IF(AND($AD$6="Must Have",$M$18&lt;&gt;"Yes"),1,0)+IF(AND($AE$6="Must Have",$N$18&lt;&gt;"Yes"),1,0)+IF(AND($AF$6="Must Have",$O$18&lt;&gt;"Yes"),1,0)+IF(AND($AG$6="Must Have",$P$18&lt;&gt;"Yes"),1,0)</x:f>
        <x:v>2</x:v>
      </x:c>
      <x:c r="P28" s="20" t="str">
        <x:f>IF(O28=0,"Best Matches","Other Homes to Consider")</x:f>
        <x:v>Other Homes to Consider</x:v>
      </x:c>
      <x:c r="Q28" s="20" t="n">
        <x:f>IF(O28=0,COUNTIFS($O$23:$O$29,0,$M$23:$M$29,"&gt;"&amp;M28)+1,COUNTIFS($O$23:$O$29,"&gt;0",$M$23:$M$29,"&gt;"&amp;M28)+1)</x:f>
        <x:v>2</x:v>
      </x:c>
      <x:c r="R28" s="20" t="str">
        <x:v>Expensive but exceptional location/property</x:v>
      </x:c>
    </x:row>
    <x:row r="29">
      <x:c r="A29" s="20" t="str">
        <x:v>Buyer 1</x:v>
      </x:c>
      <x:c r="B29" s="20" t="str">
        <x:v>House G</x:v>
      </x:c>
      <x:c r="C29" s="91" t="n">
        <x:f>IF($C$19&lt;=$M$6,100,IF($C$19&gt;=$N$6,0,100*($N$6-$C$19)/($N$6-$M$6)))</x:f>
        <x:v>83.33333333333333</x:v>
      </x:c>
      <x:c r="D29" s="91" t="n">
        <x:f>IF((MAX(0,$C$19-$O$6)*($P$6/12)*(1+$P$6/12)^($Q$6*12)/((1+$P$6/12)^($Q$6*12)-1)+$D$19/12+$E$19/12+$F$19)&lt;=$R$6,100,IF((MAX(0,$C$19-$O$6)*($P$6/12)*(1+$P$6/12)^($Q$6*12)/((1+$P$6/12)^($Q$6*12)-1)+$D$19/12+$E$19/12+$F$19)&gt;=$S$6,0,100*($S$6-(MAX(0,$C$19-$O$6)*($P$6/12)*(1+$P$6/12)^($Q$6*12)/((1+$P$6/12)^($Q$6*12)-1)+$D$19/12+$E$19/12+$F$19))/($S$6-$R$6)))</x:f>
        <x:v>100</x:v>
      </x:c>
      <x:c r="E29" s="91" t="n">
        <x:f>IF(SUM($F$6:$G$6)=0,0,C29*$F$6/SUM($F$6:$G$6)+D29*$G$6/SUM($F$6:$G$6))</x:f>
        <x:v>93.75</x:v>
      </x:c>
      <x:c r="F29" s="91" t="n">
        <x:f>MAX(0,MIN(100,$G$19*10))</x:f>
        <x:v>80</x:v>
      </x:c>
      <x:c r="G29" s="91" t="n">
        <x:f>MAX(0,MIN(100,$H$19*10))</x:f>
        <x:v>80</x:v>
      </x:c>
      <x:c r="H29" s="91" t="n">
        <x:f>IF($Y$6&lt;=0,0,MAX(0,100-50*$I$19/$Y$6))</x:f>
        <x:v>68.88888888888889</x:v>
      </x:c>
      <x:c r="I29" s="91" t="n">
        <x:f>IF(SUM($H$6:$J$6)=0,0,F29*$H$6/SUM($H$6:$J$6)+G29*$I$6/SUM($H$6:$J$6)+H29*$J$6/SUM($H$6:$J$6))</x:f>
        <x:v>77.97979797979798</x:v>
      </x:c>
      <x:c r="J29" s="91" t="n">
        <x:f>IF($J$19&lt;=$Z$6,0,IF($J$19&gt;=$AA$6,100,100*($J$19-$Z$6)/($AA$6-$Z$6)))</x:f>
        <x:v>78.57142857142857</x:v>
      </x:c>
      <x:c r="K29" s="91" t="n">
        <x:f>IF((IF($AB$6="Must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Have",1,0)))=0,100,100*(IF($K$19="Yes",IF($AB$6="Must Have",2,IF($AB$6="Nice to Have",1,0)),0)+IF($L$19="Yes",IF($AC$6="Must Have",2,IF($AC$6="Nice to Have",1,0)),0)+IF($M$19="Yes",IF($AD$6="Must Have",2,IF($AD$6="Nice to Have",1,0)),0)+IF($N$19="Yes",IF($AE$6="Must Have",2,IF($AE$6="Nice to Have",1,0)),0)+IF($O$19="Yes",IF($AF$6="Must Have",2,IF($AF$6="Nice to Have",1,0)),0)+IF($P$19="Yes",IF($AG$6="Must Have",2,IF($AG$6="Nice to Have",1,0)),0))/(IF($AB$6="Must Have",2,IF($AB$6="Nice to Have",1,0))+IF($AC$6="Must Have",2,IF($AC$6="Nice to Have",1,0))+IF($AD$6="Must Have",2,IF($AD$6="Nice to Have",1,0))+IF($AE$6="Must Have",2,IF($AE$6="Nice to Have",1,0))+IF($AF$6="Must Have",2,IF($AF$6="Nice to Have",1,0))+IF($AG$6="Must Have",2,IF($AG$6="Nice to Have",1,0))))</x:f>
        <x:v>100</x:v>
      </x:c>
      <x:c r="L29" s="91" t="n">
        <x:f>IF(SUM($K$6:$L$6)=0,0,J29*$K$6/SUM($K$6:$L$6)+K29*$L$6/SUM($K$6:$L$6))</x:f>
        <x:v>87.75510204081633</x:v>
      </x:c>
      <x:c r="M29" s="91" t="n">
        <x:f>IF(SUM($C$6:$E$6)=0,0,E29*$C$6/SUM($C$6:$E$6)+I29*$D$6/SUM($C$6:$E$6)+L29*$E$6/SUM($C$6:$E$6))</x:f>
        <x:v>86.99454150347007</x:v>
      </x:c>
      <x:c r="N29" s="91" t="n">
        <x:f>RANK(M29,$M$23:$M$29,0)</x:f>
        <x:v>3</x:v>
      </x:c>
      <x:c r="O29" s="91" t="n">
        <x:f>IF($C$19&gt;$N$6,1,0)+IF((MAX(0,$C$19-$O$6)*($P$6/12)*(1+$P$6/12)^($Q$6*12)/((1+$P$6/12)^($Q$6*12)-1)+$D$19/12+$E$19/12+$F$19)&gt;$S$6,1,0)+IF($G$19&lt;$U$6,1,0)+IF($H$19&lt;$W$6,1,0)+IF($I$19&gt;$Y$6,1,0)+IF($J$19&lt;$Z$6,1,0)+IF(AND($AB$6="Must Have",$K$19&lt;&gt;"Yes"),1,0)+IF(AND($AC$6="Must Have",$L$19&lt;&gt;"Yes"),1,0)+IF(AND($AD$6="Must Have",$M$19&lt;&gt;"Yes"),1,0)+IF(AND($AE$6="Must Have",$N$19&lt;&gt;"Yes"),1,0)+IF(AND($AF$6="Must Have",$O$19&lt;&gt;"Yes"),1,0)+IF(AND($AG$6="Must Have",$P$19&lt;&gt;"Yes"),1,0)</x:f>
        <x:v>0</x:v>
      </x:c>
      <x:c r="P29" s="20" t="str">
        <x:f>IF(O29=0,"Best Matches","Other Homes to Consider")</x:f>
        <x:v>Best Matches</x:v>
      </x:c>
      <x:c r="Q29" s="20" t="n">
        <x:f>IF(O29=0,COUNTIFS($O$23:$O$29,0,$M$23:$M$29,"&gt;"&amp;M29)+1,COUNTIFS($O$23:$O$29,"&gt;0",$M$23:$M$29,"&gt;"&amp;M29)+1)</x:f>
        <x:v>3</x:v>
      </x:c>
      <x:c r="R29" s="20" t="str">
        <x:v>Balanced / no obvious extreme</x:v>
      </x:c>
    </x:row>
    <x:row r="30">
      <x:c r="A30" s="20" t="str">
        <x:v>Buyer 2</x:v>
      </x:c>
      <x:c r="B30" s="20" t="str">
        <x:v>House A</x:v>
      </x:c>
      <x:c r="C30" s="91" t="n">
        <x:f>IF($C$13&lt;=$M$7,100,IF($C$13&gt;=$N$7,0,100*($N$7-$C$13)/($N$7-$M$7)))</x:f>
        <x:v>100</x:v>
      </x:c>
      <x:c r="D30" s="91" t="n">
        <x:f>IF((MAX(0,$C$13-$O$7)*($P$7/12)*(1+$P$7/12)^($Q$7*12)/((1+$P$7/12)^($Q$7*12)-1)+$D$13/12+$E$13/12+$F$13)&lt;=$R$7,100,IF((MAX(0,$C$13-$O$7)*($P$7/12)*(1+$P$7/12)^($Q$7*12)/((1+$P$7/12)^($Q$7*12)-1)+$D$13/12+$E$13/12+$F$13)&gt;=$S$7,0,100*($S$7-(MAX(0,$C$13-$O$7)*($P$7/12)*(1+$P$7/12)^($Q$7*12)/((1+$P$7/12)^($Q$7*12)-1)+$D$13/12+$E$13/12+$F$13))/($S$7-$R$7)))</x:f>
        <x:v>100</x:v>
      </x:c>
      <x:c r="E30" s="91" t="n">
        <x:f>IF(SUM($F$7:$G$7)=0,0,C30*$F$7/SUM($F$7:$G$7)+D30*$G$7/SUM($F$7:$G$7))</x:f>
        <x:v>100</x:v>
      </x:c>
      <x:c r="F30" s="91" t="n">
        <x:f>MAX(0,MIN(100,$G$13*10))</x:f>
        <x:v>90</x:v>
      </x:c>
      <x:c r="G30" s="91" t="n">
        <x:f>MAX(0,MIN(100,$H$13*10))</x:f>
        <x:v>90</x:v>
      </x:c>
      <x:c r="H30" s="91" t="n">
        <x:f>IF($Y$7&lt;=0,0,MAX(0,100-50*$I$13/$Y$7))</x:f>
        <x:v>77.5</x:v>
      </x:c>
      <x:c r="I30" s="91" t="n">
        <x:f>IF(SUM($H$7:$J$7)=0,0,F30*$H$7/SUM($H$7:$J$7)+G30*$I$7/SUM($H$7:$J$7)+H30*$J$7/SUM($H$7:$J$7))</x:f>
        <x:v>86.42857142857143</x:v>
      </x:c>
      <x:c r="J30" s="91" t="n">
        <x:f>IF($J$13&lt;=$Z$7,0,IF($J$13&gt;=$AA$7,100,100*($J$13-$Z$7)/($AA$7-$Z$7)))</x:f>
        <x:v>71.42857142857143</x:v>
      </x:c>
      <x:c r="K30" s="91" t="n">
        <x:f>IF((IF($AB$7="Must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Have",1,0)))=0,100,100*(IF($K$13="Yes",IF($AB$7="Must Have",2,IF($AB$7="Nice to Have",1,0)),0)+IF($L$13="Yes",IF($AC$7="Must Have",2,IF($AC$7="Nice to Have",1,0)),0)+IF($M$13="Yes",IF($AD$7="Must Have",2,IF($AD$7="Nice to Have",1,0)),0)+IF($N$13="Yes",IF($AE$7="Must Have",2,IF($AE$7="Nice to Have",1,0)),0)+IF($O$13="Yes",IF($AF$7="Must Have",2,IF($AF$7="Nice to Have",1,0)),0)+IF($P$13="Yes",IF($AG$7="Must Have",2,IF($AG$7="Nice to Have",1,0)),0))/(IF($AB$7="Must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Have",1,0))))</x:f>
        <x:v>80</x:v>
      </x:c>
      <x:c r="L30" s="91" t="n">
        <x:f>IF(SUM($K$7:$L$7)=0,0,J30*$K$7/SUM($K$7:$L$7)+K30*$L$7/SUM($K$7:$L$7))</x:f>
        <x:v>75.71428571428572</x:v>
      </x:c>
      <x:c r="M30" s="91" t="n">
        <x:f>IF(SUM($C$7:$E$7)=0,0,E30*$C$7/SUM($C$7:$E$7)+I30*$D$7/SUM($C$7:$E$7)+L30*$E$7/SUM($C$7:$E$7))</x:f>
        <x:v>85.92857142857143</x:v>
      </x:c>
      <x:c r="N30" s="91" t="n">
        <x:f>RANK(M30,$M$30:$M$36,0)</x:f>
        <x:v>3</x:v>
      </x:c>
      <x:c r="O30" s="91" t="n">
        <x:f>IF($C$13&gt;$N$7,1,0)+IF((MAX(0,$C$13-$O$7)*($P$7/12)*(1+$P$7/12)^($Q$7*12)/((1+$P$7/12)^($Q$7*12)-1)+$D$13/12+$E$13/12+$F$13)&gt;$S$7,1,0)+IF($G$13&lt;$U$7,1,0)+IF($H$13&lt;$W$7,1,0)+IF($I$13&gt;$Y$7,1,0)+IF($J$13&lt;$Z$7,1,0)+IF(AND($AB$7="Must Have",$K$13&lt;&gt;"Yes"),1,0)+IF(AND($AC$7="Must Have",$L$13&lt;&gt;"Yes"),1,0)+IF(AND($AD$7="Must Have",$M$13&lt;&gt;"Yes"),1,0)+IF(AND($AE$7="Must Have",$N$13&lt;&gt;"Yes"),1,0)+IF(AND($AF$7="Must Have",$O$13&lt;&gt;"Yes"),1,0)+IF(AND($AG$7="Must Have",$P$13&lt;&gt;"Yes"),1,0)</x:f>
        <x:v>0</x:v>
      </x:c>
      <x:c r="P30" s="20" t="str">
        <x:f>IF(O30=0,"Best Matches","Other Homes to Consider")</x:f>
        <x:v>Best Matches</x:v>
      </x:c>
      <x:c r="Q30" s="20" t="n">
        <x:f>IF(O30=0,COUNTIFS($O$30:$O$36,0,$M$30:$M$36,"&gt;"&amp;M30)+1,COUNTIFS($O$30:$O$36,"&gt;0",$M$30:$M$36,"&gt;"&amp;M30)+1)</x:f>
        <x:v>3</x:v>
      </x:c>
      <x:c r="R30" s="20" t="str">
        <x:v>Excellent overall baseline</x:v>
      </x:c>
    </x:row>
    <x:row r="31">
      <x:c r="A31" s="20" t="str">
        <x:v>Buyer 2</x:v>
      </x:c>
      <x:c r="B31" s="20" t="str">
        <x:v>House B</x:v>
      </x:c>
      <x:c r="C31" s="91" t="n">
        <x:f>IF($C$14&lt;=$M$7,100,IF($C$14&gt;=$N$7,0,100*($N$7-$C$14)/($N$7-$M$7)))</x:f>
        <x:v>100</x:v>
      </x:c>
      <x:c r="D31" s="91" t="n">
        <x:f>IF((MAX(0,$C$14-$O$7)*($P$7/12)*(1+$P$7/12)^($Q$7*12)/((1+$P$7/12)^($Q$7*12)-1)+$D$14/12+$E$14/12+$F$14)&lt;=$R$7,100,IF((MAX(0,$C$14-$O$7)*($P$7/12)*(1+$P$7/12)^($Q$7*12)/((1+$P$7/12)^($Q$7*12)-1)+$D$14/12+$E$14/12+$F$14)&gt;=$S$7,0,100*($S$7-(MAX(0,$C$14-$O$7)*($P$7/12)*(1+$P$7/12)^($Q$7*12)/((1+$P$7/12)^($Q$7*12)-1)+$D$14/12+$E$14/12+$F$14))/($S$7-$R$7)))</x:f>
        <x:v>100</x:v>
      </x:c>
      <x:c r="E31" s="91" t="n">
        <x:f>IF(SUM($F$7:$G$7)=0,0,C31*$F$7/SUM($F$7:$G$7)+D31*$G$7/SUM($F$7:$G$7))</x:f>
        <x:v>100</x:v>
      </x:c>
      <x:c r="F31" s="91" t="n">
        <x:f>MAX(0,MIN(100,$G$14*10))</x:f>
        <x:v>80</x:v>
      </x:c>
      <x:c r="G31" s="91" t="n">
        <x:f>MAX(0,MIN(100,$H$14*10))</x:f>
        <x:v>90</x:v>
      </x:c>
      <x:c r="H31" s="91" t="n">
        <x:f>IF($Y$7&lt;=0,0,MAX(0,100-50*$I$14/$Y$7))</x:f>
        <x:v>68.75</x:v>
      </x:c>
      <x:c r="I31" s="91" t="n">
        <x:f>IF(SUM($H$7:$J$7)=0,0,F31*$H$7/SUM($H$7:$J$7)+G31*$I$7/SUM($H$7:$J$7)+H31*$J$7/SUM($H$7:$J$7))</x:f>
        <x:v>80.35714285714286</x:v>
      </x:c>
      <x:c r="J31" s="91" t="n">
        <x:f>IF($J$14&lt;=$Z$7,0,IF($J$14&gt;=$AA$7,100,100*($J$14-$Z$7)/($AA$7-$Z$7)))</x:f>
        <x:v>100</x:v>
      </x:c>
      <x:c r="K31" s="91" t="n">
        <x:f>IF((IF($AB$7="Must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Have",1,0)))=0,100,100*(IF($K$14="Yes",IF($AB$7="Must Have",2,IF($AB$7="Nice to Have",1,0)),0)+IF($L$14="Yes",IF($AC$7="Must Have",2,IF($AC$7="Nice to Have",1,0)),0)+IF($M$14="Yes",IF($AD$7="Must Have",2,IF($AD$7="Nice to Have",1,0)),0)+IF($N$14="Yes",IF($AE$7="Must Have",2,IF($AE$7="Nice to Have",1,0)),0)+IF($O$14="Yes",IF($AF$7="Must Have",2,IF($AF$7="Nice to Have",1,0)),0)+IF($P$14="Yes",IF($AG$7="Must Have",2,IF($AG$7="Nice to Have",1,0)),0))/(IF($AB$7="Must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Have",1,0))))</x:f>
        <x:v>80</x:v>
      </x:c>
      <x:c r="L31" s="91" t="n">
        <x:f>IF(SUM($K$7:$L$7)=0,0,J31*$K$7/SUM($K$7:$L$7)+K31*$L$7/SUM($K$7:$L$7))</x:f>
        <x:v>90</x:v>
      </x:c>
      <x:c r="M31" s="91" t="n">
        <x:f>IF(SUM($C$7:$E$7)=0,0,E31*$C$7/SUM($C$7:$E$7)+I31*$D$7/SUM($C$7:$E$7)+L31*$E$7/SUM($C$7:$E$7))</x:f>
        <x:v>87.17857142857143</x:v>
      </x:c>
      <x:c r="N31" s="91" t="n">
        <x:f>RANK(M31,$M$30:$M$36,0)</x:f>
        <x:v>2</x:v>
      </x:c>
      <x:c r="O31" s="91" t="n">
        <x:f>IF($C$14&gt;$N$7,1,0)+IF((MAX(0,$C$14-$O$7)*($P$7/12)*(1+$P$7/12)^($Q$7*12)/((1+$P$7/12)^($Q$7*12)-1)+$D$14/12+$E$14/12+$F$14)&gt;$S$7,1,0)+IF($G$14&lt;$U$7,1,0)+IF($H$14&lt;$W$7,1,0)+IF($I$14&gt;$Y$7,1,0)+IF($J$14&lt;$Z$7,1,0)+IF(AND($AB$7="Must Have",$K$14&lt;&gt;"Yes"),1,0)+IF(AND($AC$7="Must Have",$L$14&lt;&gt;"Yes"),1,0)+IF(AND($AD$7="Must Have",$M$14&lt;&gt;"Yes"),1,0)+IF(AND($AE$7="Must Have",$N$14&lt;&gt;"Yes"),1,0)+IF(AND($AF$7="Must Have",$O$14&lt;&gt;"Yes"),1,0)+IF(AND($AG$7="Must Have",$P$14&lt;&gt;"Yes"),1,0)</x:f>
        <x:v>0</x:v>
      </x:c>
      <x:c r="P31" s="20" t="str">
        <x:f>IF(O31=0,"Best Matches","Other Homes to Consider")</x:f>
        <x:v>Best Matches</x:v>
      </x:c>
      <x:c r="Q31" s="20" t="n">
        <x:f>IF(O31=0,COUNTIFS($O$30:$O$36,0,$M$30:$M$36,"&gt;"&amp;M31)+1,COUNTIFS($O$30:$O$36,"&gt;0",$M$30:$M$36,"&gt;"&amp;M31)+1)</x:f>
        <x:v>2</x:v>
      </x:c>
      <x:c r="R31" s="20" t="str">
        <x:v>Strong property; weaker affordability/location</x:v>
      </x:c>
    </x:row>
    <x:row r="32">
      <x:c r="A32" s="20" t="str">
        <x:v>Buyer 2</x:v>
      </x:c>
      <x:c r="B32" s="20" t="str">
        <x:v>House C</x:v>
      </x:c>
      <x:c r="C32" s="91" t="n">
        <x:f>IF($C$15&lt;=$M$7,100,IF($C$15&gt;=$N$7,0,100*($N$7-$C$15)/($N$7-$M$7)))</x:f>
        <x:v>85.71428571428571</x:v>
      </x:c>
      <x:c r="D32" s="91" t="n">
        <x:f>IF((MAX(0,$C$15-$O$7)*($P$7/12)*(1+$P$7/12)^($Q$7*12)/((1+$P$7/12)^($Q$7*12)-1)+$D$15/12+$E$15/12+$F$15)&lt;=$R$7,100,IF((MAX(0,$C$15-$O$7)*($P$7/12)*(1+$P$7/12)^($Q$7*12)/((1+$P$7/12)^($Q$7*12)-1)+$D$15/12+$E$15/12+$F$15)&gt;=$S$7,0,100*($S$7-(MAX(0,$C$15-$O$7)*($P$7/12)*(1+$P$7/12)^($Q$7*12)/((1+$P$7/12)^($Q$7*12)-1)+$D$15/12+$E$15/12+$F$15))/($S$7-$R$7)))</x:f>
        <x:v>100</x:v>
      </x:c>
      <x:c r="E32" s="91" t="n">
        <x:f>IF(SUM($F$7:$G$7)=0,0,C32*$F$7/SUM($F$7:$G$7)+D32*$G$7/SUM($F$7:$G$7))</x:f>
        <x:v>95.23809523809524</x:v>
      </x:c>
      <x:c r="F32" s="91" t="n">
        <x:f>MAX(0,MIN(100,$G$15*10))</x:f>
        <x:v>70</x:v>
      </x:c>
      <x:c r="G32" s="91" t="n">
        <x:f>MAX(0,MIN(100,$H$15*10))</x:f>
        <x:v>80</x:v>
      </x:c>
      <x:c r="H32" s="91" t="n">
        <x:f>IF($Y$7&lt;=0,0,MAX(0,100-50*$I$15/$Y$7))</x:f>
        <x:v>56.25</x:v>
      </x:c>
      <x:c r="I32" s="91" t="n">
        <x:f>IF(SUM($H$7:$J$7)=0,0,F32*$H$7/SUM($H$7:$J$7)+G32*$I$7/SUM($H$7:$J$7)+H32*$J$7/SUM($H$7:$J$7))</x:f>
        <x:v>69.64285714285714</x:v>
      </x:c>
      <x:c r="J32" s="91" t="n">
        <x:f>IF($J$15&lt;=$Z$7,0,IF($J$15&gt;=$AA$7,100,100*($J$15-$Z$7)/($AA$7-$Z$7)))</x:f>
        <x:v>28.571428571428573</x:v>
      </x:c>
      <x:c r="K32" s="91" t="n">
        <x:f>IF((IF($AB$7="Must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Have",1,0)))=0,100,100*(IF($K$15="Yes",IF($AB$7="Must Have",2,IF($AB$7="Nice to Have",1,0)),0)+IF($L$15="Yes",IF($AC$7="Must Have",2,IF($AC$7="Nice to Have",1,0)),0)+IF($M$15="Yes",IF($AD$7="Must Have",2,IF($AD$7="Nice to Have",1,0)),0)+IF($N$15="Yes",IF($AE$7="Must Have",2,IF($AE$7="Nice to Have",1,0)),0)+IF($O$15="Yes",IF($AF$7="Must Have",2,IF($AF$7="Nice to Have",1,0)),0)+IF($P$15="Yes",IF($AG$7="Must Have",2,IF($AG$7="Nice to Have",1,0)),0))/(IF($AB$7="Must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Have",1,0))))</x:f>
        <x:v>80</x:v>
      </x:c>
      <x:c r="L32" s="91" t="n">
        <x:f>IF(SUM($K$7:$L$7)=0,0,J32*$K$7/SUM($K$7:$L$7)+K32*$L$7/SUM($K$7:$L$7))</x:f>
        <x:v>54.285714285714285</x:v>
      </x:c>
      <x:c r="M32" s="91" t="n">
        <x:f>IF(SUM($C$7:$E$7)=0,0,E32*$C$7/SUM($C$7:$E$7)+I32*$D$7/SUM($C$7:$E$7)+L32*$E$7/SUM($C$7:$E$7))</x:f>
        <x:v>70.1547619047619</x:v>
      </x:c>
      <x:c r="N32" s="91" t="n">
        <x:f>RANK(M32,$M$30:$M$36,0)</x:f>
        <x:v>5</x:v>
      </x:c>
      <x:c r="O32" s="91" t="n">
        <x:f>IF($C$15&gt;$N$7,1,0)+IF((MAX(0,$C$15-$O$7)*($P$7/12)*(1+$P$7/12)^($Q$7*12)/((1+$P$7/12)^($Q$7*12)-1)+$D$15/12+$E$15/12+$F$15)&gt;$S$7,1,0)+IF($G$15&lt;$U$7,1,0)+IF($H$15&lt;$W$7,1,0)+IF($I$15&gt;$Y$7,1,0)+IF($J$15&lt;$Z$7,1,0)+IF(AND($AB$7="Must Have",$K$15&lt;&gt;"Yes"),1,0)+IF(AND($AC$7="Must Have",$L$15&lt;&gt;"Yes"),1,0)+IF(AND($AD$7="Must Have",$M$15&lt;&gt;"Yes"),1,0)+IF(AND($AE$7="Must Have",$N$15&lt;&gt;"Yes"),1,0)+IF(AND($AF$7="Must Have",$O$15&lt;&gt;"Yes"),1,0)+IF(AND($AG$7="Must Have",$P$15&lt;&gt;"Yes"),1,0)</x:f>
        <x:v>0</x:v>
      </x:c>
      <x:c r="P32" s="20" t="str">
        <x:f>IF(O32=0,"Best Matches","Other Homes to Consider")</x:f>
        <x:v>Best Matches</x:v>
      </x:c>
      <x:c r="Q32" s="20" t="n">
        <x:f>IF(O32=0,COUNTIFS($O$30:$O$36,0,$M$30:$M$36,"&gt;"&amp;M32)+1,COUNTIFS($O$30:$O$36,"&gt;0",$M$30:$M$36,"&gt;"&amp;M32)+1)</x:f>
        <x:v>5</x:v>
      </x:c>
      <x:c r="R32" s="20" t="str">
        <x:v>Moderate + missing must-have for Buyer 1</x:v>
      </x:c>
    </x:row>
    <x:row r="33">
      <x:c r="A33" s="20" t="str">
        <x:v>Buyer 2</x:v>
      </x:c>
      <x:c r="B33" s="20" t="str">
        <x:v>House D</x:v>
      </x:c>
      <x:c r="C33" s="91" t="n">
        <x:f>IF($C$16&lt;=$M$7,100,IF($C$16&gt;=$N$7,0,100*($N$7-$C$16)/($N$7-$M$7)))</x:f>
        <x:v>42.857142857142854</x:v>
      </x:c>
      <x:c r="D33" s="91" t="n">
        <x:f>IF((MAX(0,$C$16-$O$7)*($P$7/12)*(1+$P$7/12)^($Q$7*12)/((1+$P$7/12)^($Q$7*12)-1)+$D$16/12+$E$16/12+$F$16)&lt;=$R$7,100,IF((MAX(0,$C$16-$O$7)*($P$7/12)*(1+$P$7/12)^($Q$7*12)/((1+$P$7/12)^($Q$7*12)-1)+$D$16/12+$E$16/12+$F$16)&gt;=$S$7,0,100*($S$7-(MAX(0,$C$16-$O$7)*($P$7/12)*(1+$P$7/12)^($Q$7*12)/((1+$P$7/12)^($Q$7*12)-1)+$D$16/12+$E$16/12+$F$16))/($S$7-$R$7)))</x:f>
        <x:v>100</x:v>
      </x:c>
      <x:c r="E33" s="91" t="n">
        <x:f>IF(SUM($F$7:$G$7)=0,0,C33*$F$7/SUM($F$7:$G$7)+D33*$G$7/SUM($F$7:$G$7))</x:f>
        <x:v>80.95238095238096</x:v>
      </x:c>
      <x:c r="F33" s="91" t="n">
        <x:f>MAX(0,MIN(100,$G$16*10))</x:f>
        <x:v>60</x:v>
      </x:c>
      <x:c r="G33" s="91" t="n">
        <x:f>MAX(0,MIN(100,$H$16*10))</x:f>
        <x:v>70</x:v>
      </x:c>
      <x:c r="H33" s="91" t="n">
        <x:f>IF($Y$7&lt;=0,0,MAX(0,100-50*$I$16/$Y$7))</x:f>
        <x:v>37.5</x:v>
      </x:c>
      <x:c r="I33" s="91" t="n">
        <x:f>IF(SUM($H$7:$J$7)=0,0,F33*$H$7/SUM($H$7:$J$7)+G33*$I$7/SUM($H$7:$J$7)+H33*$J$7/SUM($H$7:$J$7))</x:f>
        <x:v>57.142857142857146</x:v>
      </x:c>
      <x:c r="J33" s="91" t="n">
        <x:f>IF($J$16&lt;=$Z$7,0,IF($J$16&gt;=$AA$7,100,100*($J$16-$Z$7)/($AA$7-$Z$7)))</x:f>
        <x:v>0</x:v>
      </x:c>
      <x:c r="K33" s="91" t="n">
        <x:f>IF((IF($AB$7="Must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Have",1,0)))=0,100,100*(IF($K$16="Yes",IF($AB$7="Must Have",2,IF($AB$7="Nice to Have",1,0)),0)+IF($L$16="Yes",IF($AC$7="Must Have",2,IF($AC$7="Nice to Have",1,0)),0)+IF($M$16="Yes",IF($AD$7="Must Have",2,IF($AD$7="Nice to Have",1,0)),0)+IF($N$16="Yes",IF($AE$7="Must Have",2,IF($AE$7="Nice to Have",1,0)),0)+IF($O$16="Yes",IF($AF$7="Must Have",2,IF($AF$7="Nice to Have",1,0)),0)+IF($P$16="Yes",IF($AG$7="Must Have",2,IF($AG$7="Nice to Have",1,0)),0))/(IF($AB$7="Must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Have",1,0))))</x:f>
        <x:v>60</x:v>
      </x:c>
      <x:c r="L33" s="91" t="n">
        <x:f>IF(SUM($K$7:$L$7)=0,0,J33*$K$7/SUM($K$7:$L$7)+K33*$L$7/SUM($K$7:$L$7))</x:f>
        <x:v>30</x:v>
      </x:c>
      <x:c r="M33" s="91" t="n">
        <x:f>IF(SUM($C$7:$E$7)=0,0,E33*$C$7/SUM($C$7:$E$7)+I33*$D$7/SUM($C$7:$E$7)+L33*$E$7/SUM($C$7:$E$7))</x:f>
        <x:v>53.761904761904766</x:v>
      </x:c>
      <x:c r="N33" s="91" t="n">
        <x:f>RANK(M33,$M$30:$M$36,0)</x:f>
        <x:v>6</x:v>
      </x:c>
      <x:c r="O33" s="91" t="n">
        <x:f>IF($C$16&gt;$N$7,1,0)+IF((MAX(0,$C$16-$O$7)*($P$7/12)*(1+$P$7/12)^($Q$7*12)/((1+$P$7/12)^($Q$7*12)-1)+$D$16/12+$E$16/12+$F$16)&gt;$S$7,1,0)+IF($G$16&lt;$U$7,1,0)+IF($H$16&lt;$W$7,1,0)+IF($I$16&gt;$Y$7,1,0)+IF($J$16&lt;$Z$7,1,0)+IF(AND($AB$7="Must Have",$K$16&lt;&gt;"Yes"),1,0)+IF(AND($AC$7="Must Have",$L$16&lt;&gt;"Yes"),1,0)+IF(AND($AD$7="Must Have",$M$16&lt;&gt;"Yes"),1,0)+IF(AND($AE$7="Must Have",$N$16&lt;&gt;"Yes"),1,0)+IF(AND($AF$7="Must Have",$O$16&lt;&gt;"Yes"),1,0)+IF(AND($AG$7="Must Have",$P$16&lt;&gt;"Yes"),1,0)</x:f>
        <x:v>4</x:v>
      </x:c>
      <x:c r="P33" s="20" t="str">
        <x:f>IF(O33=0,"Best Matches","Other Homes to Consider")</x:f>
        <x:v>Other Homes to Consider</x:v>
      </x:c>
      <x:c r="Q33" s="20" t="n">
        <x:f>IF(O33=0,COUNTIFS($O$30:$O$36,0,$M$30:$M$36,"&gt;"&amp;M33)+1,COUNTIFS($O$30:$O$36,"&gt;0",$M$30:$M$36,"&gt;"&amp;M33)+1)</x:f>
        <x:v>1</x:v>
      </x:c>
      <x:c r="R33" s="20" t="str">
        <x:v>Clearly poor baseline / multiple limits</x:v>
      </x:c>
    </x:row>
    <x:row r="34">
      <x:c r="A34" s="20" t="str">
        <x:v>Buyer 2</x:v>
      </x:c>
      <x:c r="B34" s="20" t="str">
        <x:v>House E</x:v>
      </x:c>
      <x:c r="C34" s="91" t="n">
        <x:f>IF($C$17&lt;=$M$7,100,IF($C$17&gt;=$N$7,0,100*($N$7-$C$17)/($N$7-$M$7)))</x:f>
        <x:v>100</x:v>
      </x:c>
      <x:c r="D34" s="91" t="n">
        <x:f>IF((MAX(0,$C$17-$O$7)*($P$7/12)*(1+$P$7/12)^($Q$7*12)/((1+$P$7/12)^($Q$7*12)-1)+$D$17/12+$E$17/12+$F$17)&lt;=$R$7,100,IF((MAX(0,$C$17-$O$7)*($P$7/12)*(1+$P$7/12)^($Q$7*12)/((1+$P$7/12)^($Q$7*12)-1)+$D$17/12+$E$17/12+$F$17)&gt;=$S$7,0,100*($S$7-(MAX(0,$C$17-$O$7)*($P$7/12)*(1+$P$7/12)^($Q$7*12)/((1+$P$7/12)^($Q$7*12)-1)+$D$17/12+$E$17/12+$F$17))/($S$7-$R$7)))</x:f>
        <x:v>100</x:v>
      </x:c>
      <x:c r="E34" s="91" t="n">
        <x:f>IF(SUM($F$7:$G$7)=0,0,C34*$F$7/SUM($F$7:$G$7)+D34*$G$7/SUM($F$7:$G$7))</x:f>
        <x:v>100</x:v>
      </x:c>
      <x:c r="F34" s="91" t="n">
        <x:f>MAX(0,MIN(100,$G$17*10))</x:f>
        <x:v>50</x:v>
      </x:c>
      <x:c r="G34" s="91" t="n">
        <x:f>MAX(0,MIN(100,$H$17*10))</x:f>
        <x:v>50</x:v>
      </x:c>
      <x:c r="H34" s="91" t="n">
        <x:f>IF($Y$7&lt;=0,0,MAX(0,100-50*$I$17/$Y$7))</x:f>
        <x:v>31.25</x:v>
      </x:c>
      <x:c r="I34" s="91" t="n">
        <x:f>IF(SUM($H$7:$J$7)=0,0,F34*$H$7/SUM($H$7:$J$7)+G34*$I$7/SUM($H$7:$J$7)+H34*$J$7/SUM($H$7:$J$7))</x:f>
        <x:v>44.642857142857146</x:v>
      </x:c>
      <x:c r="J34" s="91" t="n">
        <x:f>IF($J$17&lt;=$Z$7,0,IF($J$17&gt;=$AA$7,100,100*($J$17-$Z$7)/($AA$7-$Z$7)))</x:f>
        <x:v>0</x:v>
      </x:c>
      <x:c r="K34" s="91" t="n">
        <x:f>IF((IF($AB$7="Must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Have",1,0)))=0,100,100*(IF($K$17="Yes",IF($AB$7="Must Have",2,IF($AB$7="Nice to Have",1,0)),0)+IF($L$17="Yes",IF($AC$7="Must Have",2,IF($AC$7="Nice to Have",1,0)),0)+IF($M$17="Yes",IF($AD$7="Must Have",2,IF($AD$7="Nice to Have",1,0)),0)+IF($N$17="Yes",IF($AE$7="Must Have",2,IF($AE$7="Nice to Have",1,0)),0)+IF($O$17="Yes",IF($AF$7="Must Have",2,IF($AF$7="Nice to Have",1,0)),0)+IF($P$17="Yes",IF($AG$7="Must Have",2,IF($AG$7="Nice to Have",1,0)),0))/(IF($AB$7="Must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Have",1,0))))</x:f>
        <x:v>0</x:v>
      </x:c>
      <x:c r="L34" s="91" t="n">
        <x:f>IF(SUM($K$7:$L$7)=0,0,J34*$K$7/SUM($K$7:$L$7)+K34*$L$7/SUM($K$7:$L$7))</x:f>
        <x:v>0</x:v>
      </x:c>
      <x:c r="M34" s="91" t="n">
        <x:f>IF(SUM($C$7:$E$7)=0,0,E34*$C$7/SUM($C$7:$E$7)+I34*$D$7/SUM($C$7:$E$7)+L34*$E$7/SUM($C$7:$E$7))</x:f>
        <x:v>42.32142857142857</x:v>
      </x:c>
      <x:c r="N34" s="91" t="n">
        <x:f>RANK(M34,$M$30:$M$36,0)</x:f>
        <x:v>7</x:v>
      </x:c>
      <x:c r="O34" s="91" t="n">
        <x:f>IF($C$17&gt;$N$7,1,0)+IF((MAX(0,$C$17-$O$7)*($P$7/12)*(1+$P$7/12)^($Q$7*12)/((1+$P$7/12)^($Q$7*12)-1)+$D$17/12+$E$17/12+$F$17)&gt;$S$7,1,0)+IF($G$17&lt;$U$7,1,0)+IF($H$17&lt;$W$7,1,0)+IF($I$17&gt;$Y$7,1,0)+IF($J$17&lt;$Z$7,1,0)+IF(AND($AB$7="Must Have",$K$17&lt;&gt;"Yes"),1,0)+IF(AND($AC$7="Must Have",$L$17&lt;&gt;"Yes"),1,0)+IF(AND($AD$7="Must Have",$M$17&lt;&gt;"Yes"),1,0)+IF(AND($AE$7="Must Have",$N$17&lt;&gt;"Yes"),1,0)+IF(AND($AF$7="Must Have",$O$17&lt;&gt;"Yes"),1,0)+IF(AND($AG$7="Must Have",$P$17&lt;&gt;"Yes"),1,0)</x:f>
        <x:v>5</x:v>
      </x:c>
      <x:c r="P34" s="20" t="str">
        <x:f>IF(O34=0,"Best Matches","Other Homes to Consider")</x:f>
        <x:v>Other Homes to Consider</x:v>
      </x:c>
      <x:c r="Q34" s="20" t="n">
        <x:f>IF(O34=0,COUNTIFS($O$30:$O$36,0,$M$30:$M$36,"&gt;"&amp;M34)+1,COUNTIFS($O$30:$O$36,"&gt;0",$M$30:$M$36,"&gt;"&amp;M34)+1)</x:f>
        <x:v>2</x:v>
      </x:c>
      <x:c r="R34" s="20" t="str">
        <x:v>Cheap but poor location/property</x:v>
      </x:c>
    </x:row>
    <x:row r="35">
      <x:c r="A35" s="20" t="str">
        <x:v>Buyer 2</x:v>
      </x:c>
      <x:c r="B35" s="20" t="str">
        <x:v>House F</x:v>
      </x:c>
      <x:c r="C35" s="91" t="n">
        <x:f>IF($C$18&lt;=$M$7,100,IF($C$18&gt;=$N$7,0,100*($N$7-$C$18)/($N$7-$M$7)))</x:f>
        <x:v>14.285714285714286</x:v>
      </x:c>
      <x:c r="D35" s="91" t="n">
        <x:f>IF((MAX(0,$C$18-$O$7)*($P$7/12)*(1+$P$7/12)^($Q$7*12)/((1+$P$7/12)^($Q$7*12)-1)+$D$18/12+$E$18/12+$F$18)&lt;=$R$7,100,IF((MAX(0,$C$18-$O$7)*($P$7/12)*(1+$P$7/12)^($Q$7*12)/((1+$P$7/12)^($Q$7*12)-1)+$D$18/12+$E$18/12+$F$18)&gt;=$S$7,0,100*($S$7-(MAX(0,$C$18-$O$7)*($P$7/12)*(1+$P$7/12)^($Q$7*12)/((1+$P$7/12)^($Q$7*12)-1)+$D$18/12+$E$18/12+$F$18))/($S$7-$R$7)))</x:f>
        <x:v>67.25796443854624</x:v>
      </x:c>
      <x:c r="E35" s="91" t="n">
        <x:f>IF(SUM($F$7:$G$7)=0,0,C35*$F$7/SUM($F$7:$G$7)+D35*$G$7/SUM($F$7:$G$7))</x:f>
        <x:v>49.60054772093559</x:v>
      </x:c>
      <x:c r="F35" s="91" t="n">
        <x:f>MAX(0,MIN(100,$G$18*10))</x:f>
        <x:v>100</x:v>
      </x:c>
      <x:c r="G35" s="91" t="n">
        <x:f>MAX(0,MIN(100,$H$18*10))</x:f>
        <x:v>100</x:v>
      </x:c>
      <x:c r="H35" s="91" t="n">
        <x:f>IF($Y$7&lt;=0,0,MAX(0,100-50*$I$18/$Y$7))</x:f>
        <x:v>85</x:v>
      </x:c>
      <x:c r="I35" s="91" t="n">
        <x:f>IF(SUM($H$7:$J$7)=0,0,F35*$H$7/SUM($H$7:$J$7)+G35*$I$7/SUM($H$7:$J$7)+H35*$J$7/SUM($H$7:$J$7))</x:f>
        <x:v>95.71428571428572</x:v>
      </x:c>
      <x:c r="J35" s="91" t="n">
        <x:f>IF($J$18&lt;=$Z$7,0,IF($J$18&gt;=$AA$7,100,100*($J$18-$Z$7)/($AA$7-$Z$7)))</x:f>
        <x:v>100</x:v>
      </x:c>
      <x:c r="K35" s="91" t="n">
        <x:f>IF((IF($AB$7="Must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Have",1,0)))=0,100,100*(IF($K$18="Yes",IF($AB$7="Must Have",2,IF($AB$7="Nice to Have",1,0)),0)+IF($L$18="Yes",IF($AC$7="Must Have",2,IF($AC$7="Nice to Have",1,0)),0)+IF($M$18="Yes",IF($AD$7="Must Have",2,IF($AD$7="Nice to Have",1,0)),0)+IF($N$18="Yes",IF($AE$7="Must Have",2,IF($AE$7="Nice to Have",1,0)),0)+IF($O$18="Yes",IF($AF$7="Must Have",2,IF($AF$7="Nice to Have",1,0)),0)+IF($P$18="Yes",IF($AG$7="Must Have",2,IF($AG$7="Nice to Have",1,0)),0))/(IF($AB$7="Must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Have",1,0))))</x:f>
        <x:v>100</x:v>
      </x:c>
      <x:c r="L35" s="91" t="n">
        <x:f>IF(SUM($K$7:$L$7)=0,0,J35*$K$7/SUM($K$7:$L$7)+K35*$L$7/SUM($K$7:$L$7))</x:f>
        <x:v>100</x:v>
      </x:c>
      <x:c r="M35" s="91" t="n">
        <x:f>IF(SUM($C$7:$E$7)=0,0,E35*$C$7/SUM($C$7:$E$7)+I35*$D$7/SUM($C$7:$E$7)+L35*$E$7/SUM($C$7:$E$7))</x:f>
        <x:v>87.77725240132997</x:v>
      </x:c>
      <x:c r="N35" s="91" t="n">
        <x:f>RANK(M35,$M$30:$M$36,0)</x:f>
        <x:v>1</x:v>
      </x:c>
      <x:c r="O35" s="91" t="n">
        <x:f>IF($C$18&gt;$N$7,1,0)+IF((MAX(0,$C$18-$O$7)*($P$7/12)*(1+$P$7/12)^($Q$7*12)/((1+$P$7/12)^($Q$7*12)-1)+$D$18/12+$E$18/12+$F$18)&gt;$S$7,1,0)+IF($G$18&lt;$U$7,1,0)+IF($H$18&lt;$W$7,1,0)+IF($I$18&gt;$Y$7,1,0)+IF($J$18&lt;$Z$7,1,0)+IF(AND($AB$7="Must Have",$K$18&lt;&gt;"Yes"),1,0)+IF(AND($AC$7="Must Have",$L$18&lt;&gt;"Yes"),1,0)+IF(AND($AD$7="Must Have",$M$18&lt;&gt;"Yes"),1,0)+IF(AND($AE$7="Must Have",$N$18&lt;&gt;"Yes"),1,0)+IF(AND($AF$7="Must Have",$O$18&lt;&gt;"Yes"),1,0)+IF(AND($AG$7="Must Have",$P$18&lt;&gt;"Yes"),1,0)</x:f>
        <x:v>0</x:v>
      </x:c>
      <x:c r="P35" s="20" t="str">
        <x:f>IF(O35=0,"Best Matches","Other Homes to Consider")</x:f>
        <x:v>Best Matches</x:v>
      </x:c>
      <x:c r="Q35" s="20" t="n">
        <x:f>IF(O35=0,COUNTIFS($O$30:$O$36,0,$M$30:$M$36,"&gt;"&amp;M35)+1,COUNTIFS($O$30:$O$36,"&gt;0",$M$30:$M$36,"&gt;"&amp;M35)+1)</x:f>
        <x:v>1</x:v>
      </x:c>
      <x:c r="R35" s="20" t="str">
        <x:v>Expensive but exceptional location/property</x:v>
      </x:c>
    </x:row>
    <x:row r="36">
      <x:c r="A36" s="20" t="str">
        <x:v>Buyer 2</x:v>
      </x:c>
      <x:c r="B36" s="20" t="str">
        <x:v>House G</x:v>
      </x:c>
      <x:c r="C36" s="91" t="n">
        <x:f>IF($C$19&lt;=$M$7,100,IF($C$19&gt;=$N$7,0,100*($N$7-$C$19)/($N$7-$M$7)))</x:f>
        <x:v>100</x:v>
      </x:c>
      <x:c r="D36" s="91" t="n">
        <x:f>IF((MAX(0,$C$19-$O$7)*($P$7/12)*(1+$P$7/12)^($Q$7*12)/((1+$P$7/12)^($Q$7*12)-1)+$D$19/12+$E$19/12+$F$19)&lt;=$R$7,100,IF((MAX(0,$C$19-$O$7)*($P$7/12)*(1+$P$7/12)^($Q$7*12)/((1+$P$7/12)^($Q$7*12)-1)+$D$19/12+$E$19/12+$F$19)&gt;=$S$7,0,100*($S$7-(MAX(0,$C$19-$O$7)*($P$7/12)*(1+$P$7/12)^($Q$7*12)/((1+$P$7/12)^($Q$7*12)-1)+$D$19/12+$E$19/12+$F$19))/($S$7-$R$7)))</x:f>
        <x:v>100</x:v>
      </x:c>
      <x:c r="E36" s="91" t="n">
        <x:f>IF(SUM($F$7:$G$7)=0,0,C36*$F$7/SUM($F$7:$G$7)+D36*$G$7/SUM($F$7:$G$7))</x:f>
        <x:v>100</x:v>
      </x:c>
      <x:c r="F36" s="91" t="n">
        <x:f>MAX(0,MIN(100,$G$19*10))</x:f>
        <x:v>80</x:v>
      </x:c>
      <x:c r="G36" s="91" t="n">
        <x:f>MAX(0,MIN(100,$H$19*10))</x:f>
        <x:v>80</x:v>
      </x:c>
      <x:c r="H36" s="91" t="n">
        <x:f>IF($Y$7&lt;=0,0,MAX(0,100-50*$I$19/$Y$7))</x:f>
        <x:v>65</x:v>
      </x:c>
      <x:c r="I36" s="91" t="n">
        <x:f>IF(SUM($H$7:$J$7)=0,0,F36*$H$7/SUM($H$7:$J$7)+G36*$I$7/SUM($H$7:$J$7)+H36*$J$7/SUM($H$7:$J$7))</x:f>
        <x:v>75.71428571428572</x:v>
      </x:c>
      <x:c r="J36" s="91" t="n">
        <x:f>IF($J$19&lt;=$Z$7,0,IF($J$19&gt;=$AA$7,100,100*($J$19-$Z$7)/($AA$7-$Z$7)))</x:f>
        <x:v>64.28571428571429</x:v>
      </x:c>
      <x:c r="K36" s="91" t="n">
        <x:f>IF((IF($AB$7="Must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Have",1,0)))=0,100,100*(IF($K$19="Yes",IF($AB$7="Must Have",2,IF($AB$7="Nice to Have",1,0)),0)+IF($L$19="Yes",IF($AC$7="Must Have",2,IF($AC$7="Nice to Have",1,0)),0)+IF($M$19="Yes",IF($AD$7="Must Have",2,IF($AD$7="Nice to Have",1,0)),0)+IF($N$19="Yes",IF($AE$7="Must Have",2,IF($AE$7="Nice to Have",1,0)),0)+IF($O$19="Yes",IF($AF$7="Must Have",2,IF($AF$7="Nice to Have",1,0)),0)+IF($P$19="Yes",IF($AG$7="Must Have",2,IF($AG$7="Nice to Have",1,0)),0))/(IF($AB$7="Must Have",2,IF($AB$7="Nice to Have",1,0))+IF($AC$7="Must Have",2,IF($AC$7="Nice to Have",1,0))+IF($AD$7="Must Have",2,IF($AD$7="Nice to Have",1,0))+IF($AE$7="Must Have",2,IF($AE$7="Nice to Have",1,0))+IF($AF$7="Must Have",2,IF($AF$7="Nice to Have",1,0))+IF($AG$7="Must Have",2,IF($AG$7="Nice to Have",1,0))))</x:f>
        <x:v>100</x:v>
      </x:c>
      <x:c r="L36" s="91" t="n">
        <x:f>IF(SUM($K$7:$L$7)=0,0,J36*$K$7/SUM($K$7:$L$7)+K36*$L$7/SUM($K$7:$L$7))</x:f>
        <x:v>82.14285714285714</x:v>
      </x:c>
      <x:c r="M36" s="91" t="n">
        <x:f>IF(SUM($C$7:$E$7)=0,0,E36*$C$7/SUM($C$7:$E$7)+I36*$D$7/SUM($C$7:$E$7)+L36*$E$7/SUM($C$7:$E$7))</x:f>
        <x:v>82.5</x:v>
      </x:c>
      <x:c r="N36" s="91" t="n">
        <x:f>RANK(M36,$M$30:$M$36,0)</x:f>
        <x:v>4</x:v>
      </x:c>
      <x:c r="O36" s="91" t="n">
        <x:f>IF($C$19&gt;$N$7,1,0)+IF((MAX(0,$C$19-$O$7)*($P$7/12)*(1+$P$7/12)^($Q$7*12)/((1+$P$7/12)^($Q$7*12)-1)+$D$19/12+$E$19/12+$F$19)&gt;$S$7,1,0)+IF($G$19&lt;$U$7,1,0)+IF($H$19&lt;$W$7,1,0)+IF($I$19&gt;$Y$7,1,0)+IF($J$19&lt;$Z$7,1,0)+IF(AND($AB$7="Must Have",$K$19&lt;&gt;"Yes"),1,0)+IF(AND($AC$7="Must Have",$L$19&lt;&gt;"Yes"),1,0)+IF(AND($AD$7="Must Have",$M$19&lt;&gt;"Yes"),1,0)+IF(AND($AE$7="Must Have",$N$19&lt;&gt;"Yes"),1,0)+IF(AND($AF$7="Must Have",$O$19&lt;&gt;"Yes"),1,0)+IF(AND($AG$7="Must Have",$P$19&lt;&gt;"Yes"),1,0)</x:f>
        <x:v>0</x:v>
      </x:c>
      <x:c r="P36" s="20" t="str">
        <x:f>IF(O36=0,"Best Matches","Other Homes to Consider")</x:f>
        <x:v>Best Matches</x:v>
      </x:c>
      <x:c r="Q36" s="20" t="n">
        <x:f>IF(O36=0,COUNTIFS($O$30:$O$36,0,$M$30:$M$36,"&gt;"&amp;M36)+1,COUNTIFS($O$30:$O$36,"&gt;0",$M$30:$M$36,"&gt;"&amp;M36)+1)</x:f>
        <x:v>4</x:v>
      </x:c>
      <x:c r="R36" s="20" t="str">
        <x:v>Balanced / no obvious extreme</x:v>
      </x:c>
    </x:row>
    <x:row r="37">
      <x:c r="A37" s="20" t="str">
        <x:v>Buyer 3</x:v>
      </x:c>
      <x:c r="B37" s="20" t="str">
        <x:v>House A</x:v>
      </x:c>
      <x:c r="C37" s="91" t="n">
        <x:f>IF($C$13&lt;=$M$8,100,IF($C$13&gt;=$N$8,0,100*($N$8-$C$13)/($N$8-$M$8)))</x:f>
        <x:v>80</x:v>
      </x:c>
      <x:c r="D37" s="91" t="n">
        <x:f>IF((MAX(0,$C$13-$O$8)*($P$8/12)*(1+$P$8/12)^($Q$8*12)/((1+$P$8/12)^($Q$8*12)-1)+$D$13/12+$E$13/12+$F$13)&lt;=$R$8,100,IF((MAX(0,$C$13-$O$8)*($P$8/12)*(1+$P$8/12)^($Q$8*12)/((1+$P$8/12)^($Q$8*12)-1)+$D$13/12+$E$13/12+$F$13)&gt;=$S$8,0,100*($S$8-(MAX(0,$C$13-$O$8)*($P$8/12)*(1+$P$8/12)^($Q$8*12)/((1+$P$8/12)^($Q$8*12)-1)+$D$13/12+$E$13/12+$F$13))/($S$8-$R$8)))</x:f>
        <x:v>100</x:v>
      </x:c>
      <x:c r="E37" s="91" t="n">
        <x:f>IF(SUM($F$8:$G$8)=0,0,C37*$F$8/SUM($F$8:$G$8)+D37*$G$8/SUM($F$8:$G$8))</x:f>
        <x:v>90</x:v>
      </x:c>
      <x:c r="F37" s="91" t="n">
        <x:f>MAX(0,MIN(100,$G$13*10))</x:f>
        <x:v>90</x:v>
      </x:c>
      <x:c r="G37" s="91" t="n">
        <x:f>MAX(0,MIN(100,$H$13*10))</x:f>
        <x:v>90</x:v>
      </x:c>
      <x:c r="H37" s="91" t="n">
        <x:f>IF($Y$8&lt;=0,0,MAX(0,100-50*$I$13/$Y$8))</x:f>
        <x:v>83.63636363636364</x:v>
      </x:c>
      <x:c r="I37" s="91" t="n">
        <x:f>IF(SUM($H$8:$J$8)=0,0,F37*$H$8/SUM($H$8:$J$8)+G37*$I$8/SUM($H$8:$J$8)+H37*$J$8/SUM($H$8:$J$8))</x:f>
        <x:v>88.4090909090909</x:v>
      </x:c>
      <x:c r="J37" s="91" t="n">
        <x:f>IF($J$13&lt;=$Z$8,0,IF($J$13&gt;=$AA$8,100,100*($J$13-$Z$8)/($AA$8-$Z$8)))</x:f>
        <x:v>100</x:v>
      </x:c>
      <x:c r="K37" s="91" t="n">
        <x:f>IF((IF($AB$8="Must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Have",1,0)))=0,100,100*(IF($K$13="Yes",IF($AB$8="Must Have",2,IF($AB$8="Nice to Have",1,0)),0)+IF($L$13="Yes",IF($AC$8="Must Have",2,IF($AC$8="Nice to Have",1,0)),0)+IF($M$13="Yes",IF($AD$8="Must Have",2,IF($AD$8="Nice to Have",1,0)),0)+IF($N$13="Yes",IF($AE$8="Must Have",2,IF($AE$8="Nice to Have",1,0)),0)+IF($O$13="Yes",IF($AF$8="Must Have",2,IF($AF$8="Nice to Have",1,0)),0)+IF($P$13="Yes",IF($AG$8="Must Have",2,IF($AG$8="Nice to Have",1,0)),0))/(IF($AB$8="Must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Have",1,0))))</x:f>
        <x:v>100</x:v>
      </x:c>
      <x:c r="L37" s="91" t="n">
        <x:f>IF(SUM($K$8:$L$8)=0,0,J37*$K$8/SUM($K$8:$L$8)+K37*$L$8/SUM($K$8:$L$8))</x:f>
        <x:v>100</x:v>
      </x:c>
      <x:c r="M37" s="91" t="n">
        <x:f>IF(SUM($C$8:$E$8)=0,0,E37*$C$8/SUM($C$8:$E$8)+I37*$D$8/SUM($C$8:$E$8)+L37*$E$8/SUM($C$8:$E$8))</x:f>
        <x:v>91.86868686868686</x:v>
      </x:c>
      <x:c r="N37" s="91" t="n">
        <x:f>RANK(M37,$M$37:$M$43,0)</x:f>
        <x:v>1</x:v>
      </x:c>
      <x:c r="O37" s="91" t="n">
        <x:f>IF($C$13&gt;$N$8,1,0)+IF((MAX(0,$C$13-$O$8)*($P$8/12)*(1+$P$8/12)^($Q$8*12)/((1+$P$8/12)^($Q$8*12)-1)+$D$13/12+$E$13/12+$F$13)&gt;$S$8,1,0)+IF($G$13&lt;$U$8,1,0)+IF($H$13&lt;$W$8,1,0)+IF($I$13&gt;$Y$8,1,0)+IF($J$13&lt;$Z$8,1,0)+IF(AND($AB$8="Must Have",$K$13&lt;&gt;"Yes"),1,0)+IF(AND($AC$8="Must Have",$L$13&lt;&gt;"Yes"),1,0)+IF(AND($AD$8="Must Have",$M$13&lt;&gt;"Yes"),1,0)+IF(AND($AE$8="Must Have",$N$13&lt;&gt;"Yes"),1,0)+IF(AND($AF$8="Must Have",$O$13&lt;&gt;"Yes"),1,0)+IF(AND($AG$8="Must Have",$P$13&lt;&gt;"Yes"),1,0)</x:f>
        <x:v>0</x:v>
      </x:c>
      <x:c r="P37" s="20" t="str">
        <x:f>IF(O37=0,"Best Matches","Other Homes to Consider")</x:f>
        <x:v>Best Matches</x:v>
      </x:c>
      <x:c r="Q37" s="20" t="n">
        <x:f>IF(O37=0,COUNTIFS($O$37:$O$43,0,$M$37:$M$43,"&gt;"&amp;M37)+1,COUNTIFS($O$37:$O$43,"&gt;0",$M$37:$M$43,"&gt;"&amp;M37)+1)</x:f>
        <x:v>1</x:v>
      </x:c>
      <x:c r="R37" s="20" t="str">
        <x:v>Excellent overall baseline</x:v>
      </x:c>
    </x:row>
    <x:row r="38">
      <x:c r="A38" s="20" t="str">
        <x:v>Buyer 3</x:v>
      </x:c>
      <x:c r="B38" s="20" t="str">
        <x:v>House B</x:v>
      </x:c>
      <x:c r="C38" s="91" t="n">
        <x:f>IF($C$14&lt;=$M$8,100,IF($C$14&gt;=$N$8,0,100*($N$8-$C$14)/($N$8-$M$8)))</x:f>
        <x:v>20</x:v>
      </x:c>
      <x:c r="D38" s="91" t="n">
        <x:f>IF((MAX(0,$C$14-$O$8)*($P$8/12)*(1+$P$8/12)^($Q$8*12)/((1+$P$8/12)^($Q$8*12)-1)+$D$14/12+$E$14/12+$F$14)&lt;=$R$8,100,IF((MAX(0,$C$14-$O$8)*($P$8/12)*(1+$P$8/12)^($Q$8*12)/((1+$P$8/12)^($Q$8*12)-1)+$D$14/12+$E$14/12+$F$14)&gt;=$S$8,0,100*($S$8-(MAX(0,$C$14-$O$8)*($P$8/12)*(1+$P$8/12)^($Q$8*12)/((1+$P$8/12)^($Q$8*12)-1)+$D$14/12+$E$14/12+$F$14))/($S$8-$R$8)))</x:f>
        <x:v>43.18306645346991</x:v>
      </x:c>
      <x:c r="E38" s="91" t="n">
        <x:f>IF(SUM($F$8:$G$8)=0,0,C38*$F$8/SUM($F$8:$G$8)+D38*$G$8/SUM($F$8:$G$8))</x:f>
        <x:v>31.591533226734956</x:v>
      </x:c>
      <x:c r="F38" s="91" t="n">
        <x:f>MAX(0,MIN(100,$G$14*10))</x:f>
        <x:v>80</x:v>
      </x:c>
      <x:c r="G38" s="91" t="n">
        <x:f>MAX(0,MIN(100,$H$14*10))</x:f>
        <x:v>90</x:v>
      </x:c>
      <x:c r="H38" s="91" t="n">
        <x:f>IF($Y$8&lt;=0,0,MAX(0,100-50*$I$14/$Y$8))</x:f>
        <x:v>77.27272727272728</x:v>
      </x:c>
      <x:c r="I38" s="91" t="n">
        <x:f>IF(SUM($H$8:$J$8)=0,0,F38*$H$8/SUM($H$8:$J$8)+G38*$I$8/SUM($H$8:$J$8)+H38*$J$8/SUM($H$8:$J$8))</x:f>
        <x:v>83.06818181818181</x:v>
      </x:c>
      <x:c r="J38" s="91" t="n">
        <x:f>IF($J$14&lt;=$Z$8,0,IF($J$14&gt;=$AA$8,100,100*($J$14-$Z$8)/($AA$8-$Z$8)))</x:f>
        <x:v>100</x:v>
      </x:c>
      <x:c r="K38" s="91" t="n">
        <x:f>IF((IF($AB$8="Must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Have",1,0)))=0,100,100*(IF($K$14="Yes",IF($AB$8="Must Have",2,IF($AB$8="Nice to Have",1,0)),0)+IF($L$14="Yes",IF($AC$8="Must Have",2,IF($AC$8="Nice to Have",1,0)),0)+IF($M$14="Yes",IF($AD$8="Must Have",2,IF($AD$8="Nice to Have",1,0)),0)+IF($N$14="Yes",IF($AE$8="Must Have",2,IF($AE$8="Nice to Have",1,0)),0)+IF($O$14="Yes",IF($AF$8="Must Have",2,IF($AF$8="Nice to Have",1,0)),0)+IF($P$14="Yes",IF($AG$8="Must Have",2,IF($AG$8="Nice to Have",1,0)),0))/(IF($AB$8="Must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Have",1,0))))</x:f>
        <x:v>100</x:v>
      </x:c>
      <x:c r="L38" s="91" t="n">
        <x:f>IF(SUM($K$8:$L$8)=0,0,J38*$K$8/SUM($K$8:$L$8)+K38*$L$8/SUM($K$8:$L$8))</x:f>
        <x:v>100</x:v>
      </x:c>
      <x:c r="M38" s="91" t="n">
        <x:f>IF(SUM($C$8:$E$8)=0,0,E38*$C$8/SUM($C$8:$E$8)+I38*$D$8/SUM($C$8:$E$8)+L38*$E$8/SUM($C$8:$E$8))</x:f>
        <x:v>58.23266997444871</x:v>
      </x:c>
      <x:c r="N38" s="91" t="n">
        <x:f>RANK(M38,$M$37:$M$43,0)</x:f>
        <x:v>4</x:v>
      </x:c>
      <x:c r="O38" s="91" t="n">
        <x:f>IF($C$14&gt;$N$8,1,0)+IF((MAX(0,$C$14-$O$8)*($P$8/12)*(1+$P$8/12)^($Q$8*12)/((1+$P$8/12)^($Q$8*12)-1)+$D$14/12+$E$14/12+$F$14)&gt;$S$8,1,0)+IF($G$14&lt;$U$8,1,0)+IF($H$14&lt;$W$8,1,0)+IF($I$14&gt;$Y$8,1,0)+IF($J$14&lt;$Z$8,1,0)+IF(AND($AB$8="Must Have",$K$14&lt;&gt;"Yes"),1,0)+IF(AND($AC$8="Must Have",$L$14&lt;&gt;"Yes"),1,0)+IF(AND($AD$8="Must Have",$M$14&lt;&gt;"Yes"),1,0)+IF(AND($AE$8="Must Have",$N$14&lt;&gt;"Yes"),1,0)+IF(AND($AF$8="Must Have",$O$14&lt;&gt;"Yes"),1,0)+IF(AND($AG$8="Must Have",$P$14&lt;&gt;"Yes"),1,0)</x:f>
        <x:v>0</x:v>
      </x:c>
      <x:c r="P38" s="20" t="str">
        <x:f>IF(O38=0,"Best Matches","Other Homes to Consider")</x:f>
        <x:v>Best Matches</x:v>
      </x:c>
      <x:c r="Q38" s="20" t="n">
        <x:f>IF(O38=0,COUNTIFS($O$37:$O$43,0,$M$37:$M$43,"&gt;"&amp;M38)+1,COUNTIFS($O$37:$O$43,"&gt;0",$M$37:$M$43,"&gt;"&amp;M38)+1)</x:f>
        <x:v>3</x:v>
      </x:c>
      <x:c r="R38" s="20" t="str">
        <x:v>Strong property; weaker affordability/location</x:v>
      </x:c>
    </x:row>
    <x:row r="39">
      <x:c r="A39" s="20" t="str">
        <x:v>Buyer 3</x:v>
      </x:c>
      <x:c r="B39" s="20" t="str">
        <x:v>House C</x:v>
      </x:c>
      <x:c r="C39" s="91" t="n">
        <x:f>IF($C$15&lt;=$M$8,100,IF($C$15&gt;=$N$8,0,100*($N$8-$C$15)/($N$8-$M$8)))</x:f>
        <x:v>0</x:v>
      </x:c>
      <x:c r="D39" s="91" t="n">
        <x:f>IF((MAX(0,$C$15-$O$8)*($P$8/12)*(1+$P$8/12)^($Q$8*12)/((1+$P$8/12)^($Q$8*12)-1)+$D$15/12+$E$15/12+$F$15)&lt;=$R$8,100,IF((MAX(0,$C$15-$O$8)*($P$8/12)*(1+$P$8/12)^($Q$8*12)/((1+$P$8/12)^($Q$8*12)-1)+$D$15/12+$E$15/12+$F$15)&gt;=$S$8,0,100*($S$8-(MAX(0,$C$15-$O$8)*($P$8/12)*(1+$P$8/12)^($Q$8*12)/((1+$P$8/12)^($Q$8*12)-1)+$D$15/12+$E$15/12+$F$15))/($S$8-$R$8)))</x:f>
        <x:v>0</x:v>
      </x:c>
      <x:c r="E39" s="91" t="n">
        <x:f>IF(SUM($F$8:$G$8)=0,0,C39*$F$8/SUM($F$8:$G$8)+D39*$G$8/SUM($F$8:$G$8))</x:f>
        <x:v>0</x:v>
      </x:c>
      <x:c r="F39" s="91" t="n">
        <x:f>MAX(0,MIN(100,$G$15*10))</x:f>
        <x:v>70</x:v>
      </x:c>
      <x:c r="G39" s="91" t="n">
        <x:f>MAX(0,MIN(100,$H$15*10))</x:f>
        <x:v>80</x:v>
      </x:c>
      <x:c r="H39" s="91" t="n">
        <x:f>IF($Y$8&lt;=0,0,MAX(0,100-50*$I$15/$Y$8))</x:f>
        <x:v>68.18181818181819</x:v>
      </x:c>
      <x:c r="I39" s="91" t="n">
        <x:f>IF(SUM($H$8:$J$8)=0,0,F39*$H$8/SUM($H$8:$J$8)+G39*$I$8/SUM($H$8:$J$8)+H39*$J$8/SUM($H$8:$J$8))</x:f>
        <x:v>73.29545454545455</x:v>
      </x:c>
      <x:c r="J39" s="91" t="n">
        <x:f>IF($J$15&lt;=$Z$8,0,IF($J$15&gt;=$AA$8,100,100*($J$15-$Z$8)/($AA$8-$Z$8)))</x:f>
        <x:v>83.33333333333333</x:v>
      </x:c>
      <x:c r="K39" s="91" t="n">
        <x:f>IF((IF($AB$8="Must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Have",1,0)))=0,100,100*(IF($K$15="Yes",IF($AB$8="Must Have",2,IF($AB$8="Nice to Have",1,0)),0)+IF($L$15="Yes",IF($AC$8="Must Have",2,IF($AC$8="Nice to Have",1,0)),0)+IF($M$15="Yes",IF($AD$8="Must Have",2,IF($AD$8="Nice to Have",1,0)),0)+IF($N$15="Yes",IF($AE$8="Must Have",2,IF($AE$8="Nice to Have",1,0)),0)+IF($O$15="Yes",IF($AF$8="Must Have",2,IF($AF$8="Nice to Have",1,0)),0)+IF($P$15="Yes",IF($AG$8="Must Have",2,IF($AG$8="Nice to Have",1,0)),0))/(IF($AB$8="Must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Have",1,0))))</x:f>
        <x:v>50</x:v>
      </x:c>
      <x:c r="L39" s="91" t="n">
        <x:f>IF(SUM($K$8:$L$8)=0,0,J39*$K$8/SUM($K$8:$L$8)+K39*$L$8/SUM($K$8:$L$8))</x:f>
        <x:v>66.66666666666666</x:v>
      </x:c>
      <x:c r="M39" s="91" t="n">
        <x:f>IF(SUM($C$8:$E$8)=0,0,E39*$C$8/SUM($C$8:$E$8)+I39*$D$8/SUM($C$8:$E$8)+L39*$E$8/SUM($C$8:$E$8))</x:f>
        <x:v>31.102693602693602</x:v>
      </x:c>
      <x:c r="N39" s="91" t="n">
        <x:f>RANK(M39,$M$37:$M$43,0)</x:f>
        <x:v>6</x:v>
      </x:c>
      <x:c r="O39" s="91" t="n">
        <x:f>IF($C$15&gt;$N$8,1,0)+IF((MAX(0,$C$15-$O$8)*($P$8/12)*(1+$P$8/12)^($Q$8*12)/((1+$P$8/12)^($Q$8*12)-1)+$D$15/12+$E$15/12+$F$15)&gt;$S$8,1,0)+IF($G$15&lt;$U$8,1,0)+IF($H$15&lt;$W$8,1,0)+IF($I$15&gt;$Y$8,1,0)+IF($J$15&lt;$Z$8,1,0)+IF(AND($AB$8="Must Have",$K$15&lt;&gt;"Yes"),1,0)+IF(AND($AC$8="Must Have",$L$15&lt;&gt;"Yes"),1,0)+IF(AND($AD$8="Must Have",$M$15&lt;&gt;"Yes"),1,0)+IF(AND($AE$8="Must Have",$N$15&lt;&gt;"Yes"),1,0)+IF(AND($AF$8="Must Have",$O$15&lt;&gt;"Yes"),1,0)+IF(AND($AG$8="Must Have",$P$15&lt;&gt;"Yes"),1,0)</x:f>
        <x:v>2</x:v>
      </x:c>
      <x:c r="P39" s="20" t="str">
        <x:f>IF(O39=0,"Best Matches","Other Homes to Consider")</x:f>
        <x:v>Other Homes to Consider</x:v>
      </x:c>
      <x:c r="Q39" s="20" t="n">
        <x:f>IF(O39=0,COUNTIFS($O$37:$O$43,0,$M$37:$M$43,"&gt;"&amp;M39)+1,COUNTIFS($O$37:$O$43,"&gt;0",$M$37:$M$43,"&gt;"&amp;M39)+1)</x:f>
        <x:v>3</x:v>
      </x:c>
      <x:c r="R39" s="20" t="str">
        <x:v>Moderate + missing must-have for Buyer 1</x:v>
      </x:c>
    </x:row>
    <x:row r="40">
      <x:c r="A40" s="20" t="str">
        <x:v>Buyer 3</x:v>
      </x:c>
      <x:c r="B40" s="20" t="str">
        <x:v>House D</x:v>
      </x:c>
      <x:c r="C40" s="91" t="n">
        <x:f>IF($C$16&lt;=$M$8,100,IF($C$16&gt;=$N$8,0,100*($N$8-$C$16)/($N$8-$M$8)))</x:f>
        <x:v>0</x:v>
      </x:c>
      <x:c r="D40" s="91" t="n">
        <x:f>IF((MAX(0,$C$16-$O$8)*($P$8/12)*(1+$P$8/12)^($Q$8*12)/((1+$P$8/12)^($Q$8*12)-1)+$D$16/12+$E$16/12+$F$16)&lt;=$R$8,100,IF((MAX(0,$C$16-$O$8)*($P$8/12)*(1+$P$8/12)^($Q$8*12)/((1+$P$8/12)^($Q$8*12)-1)+$D$16/12+$E$16/12+$F$16)&gt;=$S$8,0,100*($S$8-(MAX(0,$C$16-$O$8)*($P$8/12)*(1+$P$8/12)^($Q$8*12)/((1+$P$8/12)^($Q$8*12)-1)+$D$16/12+$E$16/12+$F$16))/($S$8-$R$8)))</x:f>
        <x:v>0</x:v>
      </x:c>
      <x:c r="E40" s="91" t="n">
        <x:f>IF(SUM($F$8:$G$8)=0,0,C40*$F$8/SUM($F$8:$G$8)+D40*$G$8/SUM($F$8:$G$8))</x:f>
        <x:v>0</x:v>
      </x:c>
      <x:c r="F40" s="91" t="n">
        <x:f>MAX(0,MIN(100,$G$16*10))</x:f>
        <x:v>60</x:v>
      </x:c>
      <x:c r="G40" s="91" t="n">
        <x:f>MAX(0,MIN(100,$H$16*10))</x:f>
        <x:v>70</x:v>
      </x:c>
      <x:c r="H40" s="91" t="n">
        <x:f>IF($Y$8&lt;=0,0,MAX(0,100-50*$I$16/$Y$8))</x:f>
        <x:v>54.54545454545455</x:v>
      </x:c>
      <x:c r="I40" s="91" t="n">
        <x:f>IF(SUM($H$8:$J$8)=0,0,F40*$H$8/SUM($H$8:$J$8)+G40*$I$8/SUM($H$8:$J$8)+H40*$J$8/SUM($H$8:$J$8))</x:f>
        <x:v>62.38636363636364</x:v>
      </x:c>
      <x:c r="J40" s="91" t="n">
        <x:f>IF($J$16&lt;=$Z$8,0,IF($J$16&gt;=$AA$8,100,100*($J$16-$Z$8)/($AA$8-$Z$8)))</x:f>
        <x:v>8.333333333333334</x:v>
      </x:c>
      <x:c r="K40" s="91" t="n">
        <x:f>IF((IF($AB$8="Must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Have",1,0)))=0,100,100*(IF($K$16="Yes",IF($AB$8="Must Have",2,IF($AB$8="Nice to Have",1,0)),0)+IF($L$16="Yes",IF($AC$8="Must Have",2,IF($AC$8="Nice to Have",1,0)),0)+IF($M$16="Yes",IF($AD$8="Must Have",2,IF($AD$8="Nice to Have",1,0)),0)+IF($N$16="Yes",IF($AE$8="Must Have",2,IF($AE$8="Nice to Have",1,0)),0)+IF($O$16="Yes",IF($AF$8="Must Have",2,IF($AF$8="Nice to Have",1,0)),0)+IF($P$16="Yes",IF($AG$8="Must Have",2,IF($AG$8="Nice to Have",1,0)),0))/(IF($AB$8="Must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Have",1,0))))</x:f>
        <x:v>50</x:v>
      </x:c>
      <x:c r="L40" s="91" t="n">
        <x:f>IF(SUM($K$8:$L$8)=0,0,J40*$K$8/SUM($K$8:$L$8)+K40*$L$8/SUM($K$8:$L$8))</x:f>
        <x:v>29.166666666666668</x:v>
      </x:c>
      <x:c r="M40" s="91" t="n">
        <x:f>IF(SUM($C$8:$E$8)=0,0,E40*$C$8/SUM($C$8:$E$8)+I40*$D$8/SUM($C$8:$E$8)+L40*$E$8/SUM($C$8:$E$8))</x:f>
        <x:v>20.345117845117848</x:v>
      </x:c>
      <x:c r="N40" s="91" t="n">
        <x:f>RANK(M40,$M$37:$M$43,0)</x:f>
        <x:v>7</x:v>
      </x:c>
      <x:c r="O40" s="91" t="n">
        <x:f>IF($C$16&gt;$N$8,1,0)+IF((MAX(0,$C$16-$O$8)*($P$8/12)*(1+$P$8/12)^($Q$8*12)/((1+$P$8/12)^($Q$8*12)-1)+$D$16/12+$E$16/12+$F$16)&gt;$S$8,1,0)+IF($G$16&lt;$U$8,1,0)+IF($H$16&lt;$W$8,1,0)+IF($I$16&gt;$Y$8,1,0)+IF($J$16&lt;$Z$8,1,0)+IF(AND($AB$8="Must Have",$K$16&lt;&gt;"Yes"),1,0)+IF(AND($AC$8="Must Have",$L$16&lt;&gt;"Yes"),1,0)+IF(AND($AD$8="Must Have",$M$16&lt;&gt;"Yes"),1,0)+IF(AND($AE$8="Must Have",$N$16&lt;&gt;"Yes"),1,0)+IF(AND($AF$8="Must Have",$O$16&lt;&gt;"Yes"),1,0)+IF(AND($AG$8="Must Have",$P$16&lt;&gt;"Yes"),1,0)</x:f>
        <x:v>2</x:v>
      </x:c>
      <x:c r="P40" s="20" t="str">
        <x:f>IF(O40=0,"Best Matches","Other Homes to Consider")</x:f>
        <x:v>Other Homes to Consider</x:v>
      </x:c>
      <x:c r="Q40" s="20" t="n">
        <x:f>IF(O40=0,COUNTIFS($O$37:$O$43,0,$M$37:$M$43,"&gt;"&amp;M40)+1,COUNTIFS($O$37:$O$43,"&gt;0",$M$37:$M$43,"&gt;"&amp;M40)+1)</x:f>
        <x:v>4</x:v>
      </x:c>
      <x:c r="R40" s="20" t="str">
        <x:v>Clearly poor baseline / multiple limits</x:v>
      </x:c>
    </x:row>
    <x:row r="41">
      <x:c r="A41" s="20" t="str">
        <x:v>Buyer 3</x:v>
      </x:c>
      <x:c r="B41" s="20" t="str">
        <x:v>House E</x:v>
      </x:c>
      <x:c r="C41" s="91" t="n">
        <x:f>IF($C$17&lt;=$M$8,100,IF($C$17&gt;=$N$8,0,100*($N$8-$C$17)/($N$8-$M$8)))</x:f>
        <x:v>100</x:v>
      </x:c>
      <x:c r="D41" s="91" t="n">
        <x:f>IF((MAX(0,$C$17-$O$8)*($P$8/12)*(1+$P$8/12)^($Q$8*12)/((1+$P$8/12)^($Q$8*12)-1)+$D$17/12+$E$17/12+$F$17)&lt;=$R$8,100,IF((MAX(0,$C$17-$O$8)*($P$8/12)*(1+$P$8/12)^($Q$8*12)/((1+$P$8/12)^($Q$8*12)-1)+$D$17/12+$E$17/12+$F$17)&gt;=$S$8,0,100*($S$8-(MAX(0,$C$17-$O$8)*($P$8/12)*(1+$P$8/12)^($Q$8*12)/((1+$P$8/12)^($Q$8*12)-1)+$D$17/12+$E$17/12+$F$17))/($S$8-$R$8)))</x:f>
        <x:v>100</x:v>
      </x:c>
      <x:c r="E41" s="91" t="n">
        <x:f>IF(SUM($F$8:$G$8)=0,0,C41*$F$8/SUM($F$8:$G$8)+D41*$G$8/SUM($F$8:$G$8))</x:f>
        <x:v>100</x:v>
      </x:c>
      <x:c r="F41" s="91" t="n">
        <x:f>MAX(0,MIN(100,$G$17*10))</x:f>
        <x:v>50</x:v>
      </x:c>
      <x:c r="G41" s="91" t="n">
        <x:f>MAX(0,MIN(100,$H$17*10))</x:f>
        <x:v>50</x:v>
      </x:c>
      <x:c r="H41" s="91" t="n">
        <x:f>IF($Y$8&lt;=0,0,MAX(0,100-50*$I$17/$Y$8))</x:f>
        <x:v>50</x:v>
      </x:c>
      <x:c r="I41" s="91" t="n">
        <x:f>IF(SUM($H$8:$J$8)=0,0,F41*$H$8/SUM($H$8:$J$8)+G41*$I$8/SUM($H$8:$J$8)+H41*$J$8/SUM($H$8:$J$8))</x:f>
        <x:v>50</x:v>
      </x:c>
      <x:c r="J41" s="91" t="n">
        <x:f>IF($J$17&lt;=$Z$8,0,IF($J$17&gt;=$AA$8,100,100*($J$17-$Z$8)/($AA$8-$Z$8)))</x:f>
        <x:v>0</x:v>
      </x:c>
      <x:c r="K41" s="91" t="n">
        <x:f>IF((IF($AB$8="Must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Have",1,0)))=0,100,100*(IF($K$17="Yes",IF($AB$8="Must Have",2,IF($AB$8="Nice to Have",1,0)),0)+IF($L$17="Yes",IF($AC$8="Must Have",2,IF($AC$8="Nice to Have",1,0)),0)+IF($M$17="Yes",IF($AD$8="Must Have",2,IF($AD$8="Nice to Have",1,0)),0)+IF($N$17="Yes",IF($AE$8="Must Have",2,IF($AE$8="Nice to Have",1,0)),0)+IF($O$17="Yes",IF($AF$8="Must Have",2,IF($AF$8="Nice to Have",1,0)),0)+IF($P$17="Yes",IF($AG$8="Must Have",2,IF($AG$8="Nice to Have",1,0)),0))/(IF($AB$8="Must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Have",1,0))))</x:f>
        <x:v>0</x:v>
      </x:c>
      <x:c r="L41" s="91" t="n">
        <x:f>IF(SUM($K$8:$L$8)=0,0,J41*$K$8/SUM($K$8:$L$8)+K41*$L$8/SUM($K$8:$L$8))</x:f>
        <x:v>0</x:v>
      </x:c>
      <x:c r="M41" s="91" t="n">
        <x:f>IF(SUM($C$8:$E$8)=0,0,E41*$C$8/SUM($C$8:$E$8)+I41*$D$8/SUM($C$8:$E$8)+L41*$E$8/SUM($C$8:$E$8))</x:f>
        <x:v>66.66666666666667</x:v>
      </x:c>
      <x:c r="N41" s="91" t="n">
        <x:f>RANK(M41,$M$37:$M$43,0)</x:f>
        <x:v>3</x:v>
      </x:c>
      <x:c r="O41" s="91" t="n">
        <x:f>IF($C$17&gt;$N$8,1,0)+IF((MAX(0,$C$17-$O$8)*($P$8/12)*(1+$P$8/12)^($Q$8*12)/((1+$P$8/12)^($Q$8*12)-1)+$D$17/12+$E$17/12+$F$17)&gt;$S$8,1,0)+IF($G$17&lt;$U$8,1,0)+IF($H$17&lt;$W$8,1,0)+IF($I$17&gt;$Y$8,1,0)+IF($J$17&lt;$Z$8,1,0)+IF(AND($AB$8="Must Have",$K$17&lt;&gt;"Yes"),1,0)+IF(AND($AC$8="Must Have",$L$17&lt;&gt;"Yes"),1,0)+IF(AND($AD$8="Must Have",$M$17&lt;&gt;"Yes"),1,0)+IF(AND($AE$8="Must Have",$N$17&lt;&gt;"Yes"),1,0)+IF(AND($AF$8="Must Have",$O$17&lt;&gt;"Yes"),1,0)+IF(AND($AG$8="Must Have",$P$17&lt;&gt;"Yes"),1,0)</x:f>
        <x:v>1</x:v>
      </x:c>
      <x:c r="P41" s="20" t="str">
        <x:f>IF(O41=0,"Best Matches","Other Homes to Consider")</x:f>
        <x:v>Other Homes to Consider</x:v>
      </x:c>
      <x:c r="Q41" s="20" t="n">
        <x:f>IF(O41=0,COUNTIFS($O$37:$O$43,0,$M$37:$M$43,"&gt;"&amp;M41)+1,COUNTIFS($O$37:$O$43,"&gt;0",$M$37:$M$43,"&gt;"&amp;M41)+1)</x:f>
        <x:v>1</x:v>
      </x:c>
      <x:c r="R41" s="20" t="str">
        <x:v>Cheap but poor location/property</x:v>
      </x:c>
    </x:row>
    <x:row r="42">
      <x:c r="A42" s="20" t="str">
        <x:v>Buyer 3</x:v>
      </x:c>
      <x:c r="B42" s="20" t="str">
        <x:v>House F</x:v>
      </x:c>
      <x:c r="C42" s="91" t="n">
        <x:f>IF($C$18&lt;=$M$8,100,IF($C$18&gt;=$N$8,0,100*($N$8-$C$18)/($N$8-$M$8)))</x:f>
        <x:v>0</x:v>
      </x:c>
      <x:c r="D42" s="91" t="n">
        <x:f>IF((MAX(0,$C$18-$O$8)*($P$8/12)*(1+$P$8/12)^($Q$8*12)/((1+$P$8/12)^($Q$8*12)-1)+$D$18/12+$E$18/12+$F$18)&lt;=$R$8,100,IF((MAX(0,$C$18-$O$8)*($P$8/12)*(1+$P$8/12)^($Q$8*12)/((1+$P$8/12)^($Q$8*12)-1)+$D$18/12+$E$18/12+$F$18)&gt;=$S$8,0,100*($S$8-(MAX(0,$C$18-$O$8)*($P$8/12)*(1+$P$8/12)^($Q$8*12)/((1+$P$8/12)^($Q$8*12)-1)+$D$18/12+$E$18/12+$F$18))/($S$8-$R$8)))</x:f>
        <x:v>0</x:v>
      </x:c>
      <x:c r="E42" s="91" t="n">
        <x:f>IF(SUM($F$8:$G$8)=0,0,C42*$F$8/SUM($F$8:$G$8)+D42*$G$8/SUM($F$8:$G$8))</x:f>
        <x:v>0</x:v>
      </x:c>
      <x:c r="F42" s="91" t="n">
        <x:f>MAX(0,MIN(100,$G$18*10))</x:f>
        <x:v>100</x:v>
      </x:c>
      <x:c r="G42" s="91" t="n">
        <x:f>MAX(0,MIN(100,$H$18*10))</x:f>
        <x:v>100</x:v>
      </x:c>
      <x:c r="H42" s="91" t="n">
        <x:f>IF($Y$8&lt;=0,0,MAX(0,100-50*$I$18/$Y$8))</x:f>
        <x:v>89.0909090909091</x:v>
      </x:c>
      <x:c r="I42" s="91" t="n">
        <x:f>IF(SUM($H$8:$J$8)=0,0,F42*$H$8/SUM($H$8:$J$8)+G42*$I$8/SUM($H$8:$J$8)+H42*$J$8/SUM($H$8:$J$8))</x:f>
        <x:v>97.27272727272728</x:v>
      </x:c>
      <x:c r="J42" s="91" t="n">
        <x:f>IF($J$18&lt;=$Z$8,0,IF($J$18&gt;=$AA$8,100,100*($J$18-$Z$8)/($AA$8-$Z$8)))</x:f>
        <x:v>100</x:v>
      </x:c>
      <x:c r="K42" s="91" t="n">
        <x:f>IF((IF($AB$8="Must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Have",1,0)))=0,100,100*(IF($K$18="Yes",IF($AB$8="Must Have",2,IF($AB$8="Nice to Have",1,0)),0)+IF($L$18="Yes",IF($AC$8="Must Have",2,IF($AC$8="Nice to Have",1,0)),0)+IF($M$18="Yes",IF($AD$8="Must Have",2,IF($AD$8="Nice to Have",1,0)),0)+IF($N$18="Yes",IF($AE$8="Must Have",2,IF($AE$8="Nice to Have",1,0)),0)+IF($O$18="Yes",IF($AF$8="Must Have",2,IF($AF$8="Nice to Have",1,0)),0)+IF($P$18="Yes",IF($AG$8="Must Have",2,IF($AG$8="Nice to Have",1,0)),0))/(IF($AB$8="Must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Have",1,0))))</x:f>
        <x:v>100</x:v>
      </x:c>
      <x:c r="L42" s="91" t="n">
        <x:f>IF(SUM($K$8:$L$8)=0,0,J42*$K$8/SUM($K$8:$L$8)+K42*$L$8/SUM($K$8:$L$8))</x:f>
        <x:v>100</x:v>
      </x:c>
      <x:c r="M42" s="91" t="n">
        <x:f>IF(SUM($C$8:$E$8)=0,0,E42*$C$8/SUM($C$8:$E$8)+I42*$D$8/SUM($C$8:$E$8)+L42*$E$8/SUM($C$8:$E$8))</x:f>
        <x:v>43.83838383838384</x:v>
      </x:c>
      <x:c r="N42" s="91" t="n">
        <x:f>RANK(M42,$M$37:$M$43,0)</x:f>
        <x:v>5</x:v>
      </x:c>
      <x:c r="O42" s="91" t="n">
        <x:f>IF($C$18&gt;$N$8,1,0)+IF((MAX(0,$C$18-$O$8)*($P$8/12)*(1+$P$8/12)^($Q$8*12)/((1+$P$8/12)^($Q$8*12)-1)+$D$18/12+$E$18/12+$F$18)&gt;$S$8,1,0)+IF($G$18&lt;$U$8,1,0)+IF($H$18&lt;$W$8,1,0)+IF($I$18&gt;$Y$8,1,0)+IF($J$18&lt;$Z$8,1,0)+IF(AND($AB$8="Must Have",$K$18&lt;&gt;"Yes"),1,0)+IF(AND($AC$8="Must Have",$L$18&lt;&gt;"Yes"),1,0)+IF(AND($AD$8="Must Have",$M$18&lt;&gt;"Yes"),1,0)+IF(AND($AE$8="Must Have",$N$18&lt;&gt;"Yes"),1,0)+IF(AND($AF$8="Must Have",$O$18&lt;&gt;"Yes"),1,0)+IF(AND($AG$8="Must Have",$P$18&lt;&gt;"Yes"),1,0)</x:f>
        <x:v>2</x:v>
      </x:c>
      <x:c r="P42" s="20" t="str">
        <x:f>IF(O42=0,"Best Matches","Other Homes to Consider")</x:f>
        <x:v>Other Homes to Consider</x:v>
      </x:c>
      <x:c r="Q42" s="20" t="n">
        <x:f>IF(O42=0,COUNTIFS($O$37:$O$43,0,$M$37:$M$43,"&gt;"&amp;M42)+1,COUNTIFS($O$37:$O$43,"&gt;0",$M$37:$M$43,"&gt;"&amp;M42)+1)</x:f>
        <x:v>2</x:v>
      </x:c>
      <x:c r="R42" s="20" t="str">
        <x:v>Expensive but exceptional location/property</x:v>
      </x:c>
    </x:row>
    <x:row r="43">
      <x:c r="A43" s="20" t="str">
        <x:v>Buyer 3</x:v>
      </x:c>
      <x:c r="B43" s="20" t="str">
        <x:v>House G</x:v>
      </x:c>
      <x:c r="C43" s="91" t="n">
        <x:f>IF($C$19&lt;=$M$8,100,IF($C$19&gt;=$N$8,0,100*($N$8-$C$19)/($N$8-$M$8)))</x:f>
        <x:v>40</x:v>
      </x:c>
      <x:c r="D43" s="91" t="n">
        <x:f>IF((MAX(0,$C$19-$O$8)*($P$8/12)*(1+$P$8/12)^($Q$8*12)/((1+$P$8/12)^($Q$8*12)-1)+$D$19/12+$E$19/12+$F$19)&lt;=$R$8,100,IF((MAX(0,$C$19-$O$8)*($P$8/12)*(1+$P$8/12)^($Q$8*12)/((1+$P$8/12)^($Q$8*12)-1)+$D$19/12+$E$19/12+$F$19)&gt;=$S$8,0,100*($S$8-(MAX(0,$C$19-$O$8)*($P$8/12)*(1+$P$8/12)^($Q$8*12)/((1+$P$8/12)^($Q$8*12)-1)+$D$19/12+$E$19/12+$F$19))/($S$8-$R$8)))</x:f>
        <x:v>74.92422896679471</x:v>
      </x:c>
      <x:c r="E43" s="91" t="n">
        <x:f>IF(SUM($F$8:$G$8)=0,0,C43*$F$8/SUM($F$8:$G$8)+D43*$G$8/SUM($F$8:$G$8))</x:f>
        <x:v>57.46211448339736</x:v>
      </x:c>
      <x:c r="F43" s="91" t="n">
        <x:f>MAX(0,MIN(100,$G$19*10))</x:f>
        <x:v>80</x:v>
      </x:c>
      <x:c r="G43" s="91" t="n">
        <x:f>MAX(0,MIN(100,$H$19*10))</x:f>
        <x:v>80</x:v>
      </x:c>
      <x:c r="H43" s="91" t="n">
        <x:f>IF($Y$8&lt;=0,0,MAX(0,100-50*$I$19/$Y$8))</x:f>
        <x:v>74.54545454545455</x:v>
      </x:c>
      <x:c r="I43" s="91" t="n">
        <x:f>IF(SUM($H$8:$J$8)=0,0,F43*$H$8/SUM($H$8:$J$8)+G43*$I$8/SUM($H$8:$J$8)+H43*$J$8/SUM($H$8:$J$8))</x:f>
        <x:v>78.63636363636364</x:v>
      </x:c>
      <x:c r="J43" s="91" t="n">
        <x:f>IF($J$19&lt;=$Z$8,0,IF($J$19&gt;=$AA$8,100,100*($J$19-$Z$8)/($AA$8-$Z$8)))</x:f>
        <x:v>100</x:v>
      </x:c>
      <x:c r="K43" s="91" t="n">
        <x:f>IF((IF($AB$8="Must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Have",1,0)))=0,100,100*(IF($K$19="Yes",IF($AB$8="Must Have",2,IF($AB$8="Nice to Have",1,0)),0)+IF($L$19="Yes",IF($AC$8="Must Have",2,IF($AC$8="Nice to Have",1,0)),0)+IF($M$19="Yes",IF($AD$8="Must Have",2,IF($AD$8="Nice to Have",1,0)),0)+IF($N$19="Yes",IF($AE$8="Must Have",2,IF($AE$8="Nice to Have",1,0)),0)+IF($O$19="Yes",IF($AF$8="Must Have",2,IF($AF$8="Nice to Have",1,0)),0)+IF($P$19="Yes",IF($AG$8="Must Have",2,IF($AG$8="Nice to Have",1,0)),0))/(IF($AB$8="Must Have",2,IF($AB$8="Nice to Have",1,0))+IF($AC$8="Must Have",2,IF($AC$8="Nice to Have",1,0))+IF($AD$8="Must Have",2,IF($AD$8="Nice to Have",1,0))+IF($AE$8="Must Have",2,IF($AE$8="Nice to Have",1,0))+IF($AF$8="Must Have",2,IF($AF$8="Nice to Have",1,0))+IF($AG$8="Must Have",2,IF($AG$8="Nice to Have",1,0))))</x:f>
        <x:v>100</x:v>
      </x:c>
      <x:c r="L43" s="91" t="n">
        <x:f>IF(SUM($K$8:$L$8)=0,0,J43*$K$8/SUM($K$8:$L$8)+K43*$L$8/SUM($K$8:$L$8))</x:f>
        <x:v>100</x:v>
      </x:c>
      <x:c r="M43" s="91" t="n">
        <x:f>IF(SUM($C$8:$E$8)=0,0,E43*$C$8/SUM($C$8:$E$8)+I43*$D$8/SUM($C$8:$E$8)+L43*$E$8/SUM($C$8:$E$8))</x:f>
        <x:v>71.62036663219045</x:v>
      </x:c>
      <x:c r="N43" s="91" t="n">
        <x:f>RANK(M43,$M$37:$M$43,0)</x:f>
        <x:v>2</x:v>
      </x:c>
      <x:c r="O43" s="91" t="n">
        <x:f>IF($C$19&gt;$N$8,1,0)+IF((MAX(0,$C$19-$O$8)*($P$8/12)*(1+$P$8/12)^($Q$8*12)/((1+$P$8/12)^($Q$8*12)-1)+$D$19/12+$E$19/12+$F$19)&gt;$S$8,1,0)+IF($G$19&lt;$U$8,1,0)+IF($H$19&lt;$W$8,1,0)+IF($I$19&gt;$Y$8,1,0)+IF($J$19&lt;$Z$8,1,0)+IF(AND($AB$8="Must Have",$K$19&lt;&gt;"Yes"),1,0)+IF(AND($AC$8="Must Have",$L$19&lt;&gt;"Yes"),1,0)+IF(AND($AD$8="Must Have",$M$19&lt;&gt;"Yes"),1,0)+IF(AND($AE$8="Must Have",$N$19&lt;&gt;"Yes"),1,0)+IF(AND($AF$8="Must Have",$O$19&lt;&gt;"Yes"),1,0)+IF(AND($AG$8="Must Have",$P$19&lt;&gt;"Yes"),1,0)</x:f>
        <x:v>0</x:v>
      </x:c>
      <x:c r="P43" s="20" t="str">
        <x:f>IF(O43=0,"Best Matches","Other Homes to Consider")</x:f>
        <x:v>Best Matches</x:v>
      </x:c>
      <x:c r="Q43" s="20" t="n">
        <x:f>IF(O43=0,COUNTIFS($O$37:$O$43,0,$M$37:$M$43,"&gt;"&amp;M43)+1,COUNTIFS($O$37:$O$43,"&gt;0",$M$37:$M$43,"&gt;"&amp;M43)+1)</x:f>
        <x:v>2</x:v>
      </x:c>
      <x:c r="R43" s="20" t="str">
        <x:v>Balanced / no obvious extreme</x:v>
      </x:c>
    </x:row>
    <x:row r="44">
      <x:c r="A44" s="20" t="str">
        <x:v>Buyer 4</x:v>
      </x:c>
      <x:c r="B44" s="20" t="str">
        <x:v>House A</x:v>
      </x:c>
      <x:c r="C44" s="91" t="n">
        <x:f>IF($C$13&lt;=$M$9,100,IF($C$13&gt;=$N$9,0,100*($N$9-$C$13)/($N$9-$M$9)))</x:f>
        <x:v>100</x:v>
      </x:c>
      <x:c r="D44" s="91" t="n">
        <x:f>IF((MAX(0,$C$13-$O$9)*($P$9/12)*(1+$P$9/12)^($Q$9*12)/((1+$P$9/12)^($Q$9*12)-1)+$D$13/12+$E$13/12+$F$13)&lt;=$R$9,100,IF((MAX(0,$C$13-$O$9)*($P$9/12)*(1+$P$9/12)^($Q$9*12)/((1+$P$9/12)^($Q$9*12)-1)+$D$13/12+$E$13/12+$F$13)&gt;=$S$9,0,100*($S$9-(MAX(0,$C$13-$O$9)*($P$9/12)*(1+$P$9/12)^($Q$9*12)/((1+$P$9/12)^($Q$9*12)-1)+$D$13/12+$E$13/12+$F$13))/($S$9-$R$9)))</x:f>
        <x:v>100</x:v>
      </x:c>
      <x:c r="E44" s="91" t="n">
        <x:f>IF(SUM($F$9:$G$9)=0,0,C44*$F$9/SUM($F$9:$G$9)+D44*$G$9/SUM($F$9:$G$9))</x:f>
        <x:v>100</x:v>
      </x:c>
      <x:c r="F44" s="91" t="n">
        <x:f>MAX(0,MIN(100,$G$13*10))</x:f>
        <x:v>90</x:v>
      </x:c>
      <x:c r="G44" s="91" t="n">
        <x:f>MAX(0,MIN(100,$H$13*10))</x:f>
        <x:v>90</x:v>
      </x:c>
      <x:c r="H44" s="91" t="n">
        <x:f>IF($Y$9&lt;=0,0,MAX(0,100-50*$I$13/$Y$9))</x:f>
        <x:v>82</x:v>
      </x:c>
      <x:c r="I44" s="91" t="n">
        <x:f>IF(SUM($H$9:$J$9)=0,0,F44*$H$9/SUM($H$9:$J$9)+G44*$I$9/SUM($H$9:$J$9)+H44*$J$9/SUM($H$9:$J$9))</x:f>
        <x:v>88</x:v>
      </x:c>
      <x:c r="J44" s="91" t="n">
        <x:f>IF($J$13&lt;=$Z$9,0,IF($J$13&gt;=$AA$9,100,100*($J$13-$Z$9)/($AA$9-$Z$9)))</x:f>
        <x:v>25</x:v>
      </x:c>
      <x:c r="K44" s="91" t="n">
        <x:f>IF((IF($AB$9="Must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Have",1,0)))=0,100,100*(IF($K$13="Yes",IF($AB$9="Must Have",2,IF($AB$9="Nice to Have",1,0)),0)+IF($L$13="Yes",IF($AC$9="Must Have",2,IF($AC$9="Nice to Have",1,0)),0)+IF($M$13="Yes",IF($AD$9="Must Have",2,IF($AD$9="Nice to Have",1,0)),0)+IF($N$13="Yes",IF($AE$9="Must Have",2,IF($AE$9="Nice to Have",1,0)),0)+IF($O$13="Yes",IF($AF$9="Must Have",2,IF($AF$9="Nice to Have",1,0)),0)+IF($P$13="Yes",IF($AG$9="Must Have",2,IF($AG$9="Nice to Have",1,0)),0))/(IF($AB$9="Must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Have",1,0))))</x:f>
        <x:v>50</x:v>
      </x:c>
      <x:c r="L44" s="91" t="n">
        <x:f>IF(SUM($K$9:$L$9)=0,0,J44*$K$9/SUM($K$9:$L$9)+K44*$L$9/SUM($K$9:$L$9))</x:f>
        <x:v>37.5</x:v>
      </x:c>
      <x:c r="M44" s="91" t="n">
        <x:f>IF(SUM($C$9:$E$9)=0,0,E44*$C$9/SUM($C$9:$E$9)+I44*$D$9/SUM($C$9:$E$9)+L44*$E$9/SUM($C$9:$E$9))</x:f>
        <x:v>65.15</x:v>
      </x:c>
      <x:c r="N44" s="91" t="n">
        <x:f>RANK(M44,$M$44:$M$50,0)</x:f>
        <x:v>4</x:v>
      </x:c>
      <x:c r="O44" s="91" t="n">
        <x:f>IF($C$13&gt;$N$9,1,0)+IF((MAX(0,$C$13-$O$9)*($P$9/12)*(1+$P$9/12)^($Q$9*12)/((1+$P$9/12)^($Q$9*12)-1)+$D$13/12+$E$13/12+$F$13)&gt;$S$9,1,0)+IF($G$13&lt;$U$9,1,0)+IF($H$13&lt;$W$9,1,0)+IF($I$13&gt;$Y$9,1,0)+IF($J$13&lt;$Z$9,1,0)+IF(AND($AB$9="Must Have",$K$13&lt;&gt;"Yes"),1,0)+IF(AND($AC$9="Must Have",$L$13&lt;&gt;"Yes"),1,0)+IF(AND($AD$9="Must Have",$M$13&lt;&gt;"Yes"),1,0)+IF(AND($AE$9="Must Have",$N$13&lt;&gt;"Yes"),1,0)+IF(AND($AF$9="Must Have",$O$13&lt;&gt;"Yes"),1,0)+IF(AND($AG$9="Must Have",$P$13&lt;&gt;"Yes"),1,0)</x:f>
        <x:v>2</x:v>
      </x:c>
      <x:c r="P44" s="20" t="str">
        <x:f>IF(O44=0,"Best Matches","Other Homes to Consider")</x:f>
        <x:v>Other Homes to Consider</x:v>
      </x:c>
      <x:c r="Q44" s="20" t="n">
        <x:f>IF(O44=0,COUNTIFS($O$44:$O$50,0,$M$44:$M$50,"&gt;"&amp;M44)+1,COUNTIFS($O$44:$O$50,"&gt;0",$M$44:$M$50,"&gt;"&amp;M44)+1)</x:f>
        <x:v>2</x:v>
      </x:c>
      <x:c r="R44" s="20" t="str">
        <x:v>Excellent overall baseline</x:v>
      </x:c>
    </x:row>
    <x:row r="45">
      <x:c r="A45" s="20" t="str">
        <x:v>Buyer 4</x:v>
      </x:c>
      <x:c r="B45" s="20" t="str">
        <x:v>House B</x:v>
      </x:c>
      <x:c r="C45" s="91" t="n">
        <x:f>IF($C$14&lt;=$M$9,100,IF($C$14&gt;=$N$9,0,100*($N$9-$C$14)/($N$9-$M$9)))</x:f>
        <x:v>100</x:v>
      </x:c>
      <x:c r="D45" s="91" t="n">
        <x:f>IF((MAX(0,$C$14-$O$9)*($P$9/12)*(1+$P$9/12)^($Q$9*12)/((1+$P$9/12)^($Q$9*12)-1)+$D$14/12+$E$14/12+$F$14)&lt;=$R$9,100,IF((MAX(0,$C$14-$O$9)*($P$9/12)*(1+$P$9/12)^($Q$9*12)/((1+$P$9/12)^($Q$9*12)-1)+$D$14/12+$E$14/12+$F$14)&gt;=$S$9,0,100*($S$9-(MAX(0,$C$14-$O$9)*($P$9/12)*(1+$P$9/12)^($Q$9*12)/((1+$P$9/12)^($Q$9*12)-1)+$D$14/12+$E$14/12+$F$14))/($S$9-$R$9)))</x:f>
        <x:v>100</x:v>
      </x:c>
      <x:c r="E45" s="91" t="n">
        <x:f>IF(SUM($F$9:$G$9)=0,0,C45*$F$9/SUM($F$9:$G$9)+D45*$G$9/SUM($F$9:$G$9))</x:f>
        <x:v>100</x:v>
      </x:c>
      <x:c r="F45" s="91" t="n">
        <x:f>MAX(0,MIN(100,$G$14*10))</x:f>
        <x:v>80</x:v>
      </x:c>
      <x:c r="G45" s="91" t="n">
        <x:f>MAX(0,MIN(100,$H$14*10))</x:f>
        <x:v>90</x:v>
      </x:c>
      <x:c r="H45" s="91" t="n">
        <x:f>IF($Y$9&lt;=0,0,MAX(0,100-50*$I$14/$Y$9))</x:f>
        <x:v>75</x:v>
      </x:c>
      <x:c r="I45" s="91" t="n">
        <x:f>IF(SUM($H$9:$J$9)=0,0,F45*$H$9/SUM($H$9:$J$9)+G45*$I$9/SUM($H$9:$J$9)+H45*$J$9/SUM($H$9:$J$9))</x:f>
        <x:v>82.5</x:v>
      </x:c>
      <x:c r="J45" s="91" t="n">
        <x:f>IF($J$14&lt;=$Z$9,0,IF($J$14&gt;=$AA$9,100,100*($J$14-$Z$9)/($AA$9-$Z$9)))</x:f>
        <x:v>62.5</x:v>
      </x:c>
      <x:c r="K45" s="91" t="n">
        <x:f>IF((IF($AB$9="Must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Have",1,0)))=0,100,100*(IF($K$14="Yes",IF($AB$9="Must Have",2,IF($AB$9="Nice to Have",1,0)),0)+IF($L$14="Yes",IF($AC$9="Must Have",2,IF($AC$9="Nice to Have",1,0)),0)+IF($M$14="Yes",IF($AD$9="Must Have",2,IF($AD$9="Nice to Have",1,0)),0)+IF($N$14="Yes",IF($AE$9="Must Have",2,IF($AE$9="Nice to Have",1,0)),0)+IF($O$14="Yes",IF($AF$9="Must Have",2,IF($AF$9="Nice to Have",1,0)),0)+IF($P$14="Yes",IF($AG$9="Must Have",2,IF($AG$9="Nice to Have",1,0)),0))/(IF($AB$9="Must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Have",1,0))))</x:f>
        <x:v>80</x:v>
      </x:c>
      <x:c r="L45" s="91" t="n">
        <x:f>IF(SUM($K$9:$L$9)=0,0,J45*$K$9/SUM($K$9:$L$9)+K45*$L$9/SUM($K$9:$L$9))</x:f>
        <x:v>71.25</x:v>
      </x:c>
      <x:c r="M45" s="91" t="n">
        <x:f>IF(SUM($C$9:$E$9)=0,0,E45*$C$9/SUM($C$9:$E$9)+I45*$D$9/SUM($C$9:$E$9)+L45*$E$9/SUM($C$9:$E$9))</x:f>
        <x:v>80.375</x:v>
      </x:c>
      <x:c r="N45" s="91" t="n">
        <x:f>RANK(M45,$M$44:$M$50,0)</x:f>
        <x:v>2</x:v>
      </x:c>
      <x:c r="O45" s="91" t="n">
        <x:f>IF($C$14&gt;$N$9,1,0)+IF((MAX(0,$C$14-$O$9)*($P$9/12)*(1+$P$9/12)^($Q$9*12)/((1+$P$9/12)^($Q$9*12)-1)+$D$14/12+$E$14/12+$F$14)&gt;$S$9,1,0)+IF($G$14&lt;$U$9,1,0)+IF($H$14&lt;$W$9,1,0)+IF($I$14&gt;$Y$9,1,0)+IF($J$14&lt;$Z$9,1,0)+IF(AND($AB$9="Must Have",$K$14&lt;&gt;"Yes"),1,0)+IF(AND($AC$9="Must Have",$L$14&lt;&gt;"Yes"),1,0)+IF(AND($AD$9="Must Have",$M$14&lt;&gt;"Yes"),1,0)+IF(AND($AE$9="Must Have",$N$14&lt;&gt;"Yes"),1,0)+IF(AND($AF$9="Must Have",$O$14&lt;&gt;"Yes"),1,0)+IF(AND($AG$9="Must Have",$P$14&lt;&gt;"Yes"),1,0)</x:f>
        <x:v>0</x:v>
      </x:c>
      <x:c r="P45" s="20" t="str">
        <x:f>IF(O45=0,"Best Matches","Other Homes to Consider")</x:f>
        <x:v>Best Matches</x:v>
      </x:c>
      <x:c r="Q45" s="20" t="n">
        <x:f>IF(O45=0,COUNTIFS($O$44:$O$50,0,$M$44:$M$50,"&gt;"&amp;M45)+1,COUNTIFS($O$44:$O$50,"&gt;0",$M$44:$M$50,"&gt;"&amp;M45)+1)</x:f>
        <x:v>2</x:v>
      </x:c>
      <x:c r="R45" s="20" t="str">
        <x:v>Strong property; weaker affordability/location</x:v>
      </x:c>
    </x:row>
    <x:row r="46">
      <x:c r="A46" s="20" t="str">
        <x:v>Buyer 4</x:v>
      </x:c>
      <x:c r="B46" s="20" t="str">
        <x:v>House C</x:v>
      </x:c>
      <x:c r="C46" s="91" t="n">
        <x:f>IF($C$15&lt;=$M$9,100,IF($C$15&gt;=$N$9,0,100*($N$9-$C$15)/($N$9-$M$9)))</x:f>
        <x:v>100</x:v>
      </x:c>
      <x:c r="D46" s="91" t="n">
        <x:f>IF((MAX(0,$C$15-$O$9)*($P$9/12)*(1+$P$9/12)^($Q$9*12)/((1+$P$9/12)^($Q$9*12)-1)+$D$15/12+$E$15/12+$F$15)&lt;=$R$9,100,IF((MAX(0,$C$15-$O$9)*($P$9/12)*(1+$P$9/12)^($Q$9*12)/((1+$P$9/12)^($Q$9*12)-1)+$D$15/12+$E$15/12+$F$15)&gt;=$S$9,0,100*($S$9-(MAX(0,$C$15-$O$9)*($P$9/12)*(1+$P$9/12)^($Q$9*12)/((1+$P$9/12)^($Q$9*12)-1)+$D$15/12+$E$15/12+$F$15))/($S$9-$R$9)))</x:f>
        <x:v>100</x:v>
      </x:c>
      <x:c r="E46" s="91" t="n">
        <x:f>IF(SUM($F$9:$G$9)=0,0,C46*$F$9/SUM($F$9:$G$9)+D46*$G$9/SUM($F$9:$G$9))</x:f>
        <x:v>100</x:v>
      </x:c>
      <x:c r="F46" s="91" t="n">
        <x:f>MAX(0,MIN(100,$G$15*10))</x:f>
        <x:v>70</x:v>
      </x:c>
      <x:c r="G46" s="91" t="n">
        <x:f>MAX(0,MIN(100,$H$15*10))</x:f>
        <x:v>80</x:v>
      </x:c>
      <x:c r="H46" s="91" t="n">
        <x:f>IF($Y$9&lt;=0,0,MAX(0,100-50*$I$15/$Y$9))</x:f>
        <x:v>65</x:v>
      </x:c>
      <x:c r="I46" s="91" t="n">
        <x:f>IF(SUM($H$9:$J$9)=0,0,F46*$H$9/SUM($H$9:$J$9)+G46*$I$9/SUM($H$9:$J$9)+H46*$J$9/SUM($H$9:$J$9))</x:f>
        <x:v>72.5</x:v>
      </x:c>
      <x:c r="J46" s="91" t="n">
        <x:f>IF($J$15&lt;=$Z$9,0,IF($J$15&gt;=$AA$9,100,100*($J$15-$Z$9)/($AA$9-$Z$9)))</x:f>
        <x:v>0</x:v>
      </x:c>
      <x:c r="K46" s="91" t="n">
        <x:f>IF((IF($AB$9="Must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Have",1,0)))=0,100,100*(IF($K$15="Yes",IF($AB$9="Must Have",2,IF($AB$9="Nice to Have",1,0)),0)+IF($L$15="Yes",IF($AC$9="Must Have",2,IF($AC$9="Nice to Have",1,0)),0)+IF($M$15="Yes",IF($AD$9="Must Have",2,IF($AD$9="Nice to Have",1,0)),0)+IF($N$15="Yes",IF($AE$9="Must Have",2,IF($AE$9="Nice to Have",1,0)),0)+IF($O$15="Yes",IF($AF$9="Must Have",2,IF($AF$9="Nice to Have",1,0)),0)+IF($P$15="Yes",IF($AG$9="Must Have",2,IF($AG$9="Nice to Have",1,0)),0))/(IF($AB$9="Must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Have",1,0))))</x:f>
        <x:v>50</x:v>
      </x:c>
      <x:c r="L46" s="91" t="n">
        <x:f>IF(SUM($K$9:$L$9)=0,0,J46*$K$9/SUM($K$9:$L$9)+K46*$L$9/SUM($K$9:$L$9))</x:f>
        <x:v>25</x:v>
      </x:c>
      <x:c r="M46" s="91" t="n">
        <x:f>IF(SUM($C$9:$E$9)=0,0,E46*$C$9/SUM($C$9:$E$9)+I46*$D$9/SUM($C$9:$E$9)+L46*$E$9/SUM($C$9:$E$9))</x:f>
        <x:v>54.25</x:v>
      </x:c>
      <x:c r="N46" s="91" t="n">
        <x:f>RANK(M46,$M$44:$M$50,0)</x:f>
        <x:v>5</x:v>
      </x:c>
      <x:c r="O46" s="91" t="n">
        <x:f>IF($C$15&gt;$N$9,1,0)+IF((MAX(0,$C$15-$O$9)*($P$9/12)*(1+$P$9/12)^($Q$9*12)/((1+$P$9/12)^($Q$9*12)-1)+$D$15/12+$E$15/12+$F$15)&gt;$S$9,1,0)+IF($G$15&lt;$U$9,1,0)+IF($H$15&lt;$W$9,1,0)+IF($I$15&gt;$Y$9,1,0)+IF($J$15&lt;$Z$9,1,0)+IF(AND($AB$9="Must Have",$K$15&lt;&gt;"Yes"),1,0)+IF(AND($AC$9="Must Have",$L$15&lt;&gt;"Yes"),1,0)+IF(AND($AD$9="Must Have",$M$15&lt;&gt;"Yes"),1,0)+IF(AND($AE$9="Must Have",$N$15&lt;&gt;"Yes"),1,0)+IF(AND($AF$9="Must Have",$O$15&lt;&gt;"Yes"),1,0)+IF(AND($AG$9="Must Have",$P$15&lt;&gt;"Yes"),1,0)</x:f>
        <x:v>3</x:v>
      </x:c>
      <x:c r="P46" s="20" t="str">
        <x:f>IF(O46=0,"Best Matches","Other Homes to Consider")</x:f>
        <x:v>Other Homes to Consider</x:v>
      </x:c>
      <x:c r="Q46" s="20" t="n">
        <x:f>IF(O46=0,COUNTIFS($O$44:$O$50,0,$M$44:$M$50,"&gt;"&amp;M46)+1,COUNTIFS($O$44:$O$50,"&gt;0",$M$44:$M$50,"&gt;"&amp;M46)+1)</x:f>
        <x:v>3</x:v>
      </x:c>
      <x:c r="R46" s="20" t="str">
        <x:v>Moderate + missing must-have for Buyer 1</x:v>
      </x:c>
    </x:row>
    <x:row r="47">
      <x:c r="A47" s="20" t="str">
        <x:v>Buyer 4</x:v>
      </x:c>
      <x:c r="B47" s="20" t="str">
        <x:v>House D</x:v>
      </x:c>
      <x:c r="C47" s="91" t="n">
        <x:f>IF($C$16&lt;=$M$9,100,IF($C$16&gt;=$N$9,0,100*($N$9-$C$16)/($N$9-$M$9)))</x:f>
        <x:v>66.66666666666667</x:v>
      </x:c>
      <x:c r="D47" s="91" t="n">
        <x:f>IF((MAX(0,$C$16-$O$9)*($P$9/12)*(1+$P$9/12)^($Q$9*12)/((1+$P$9/12)^($Q$9*12)-1)+$D$16/12+$E$16/12+$F$16)&lt;=$R$9,100,IF((MAX(0,$C$16-$O$9)*($P$9/12)*(1+$P$9/12)^($Q$9*12)/((1+$P$9/12)^($Q$9*12)-1)+$D$16/12+$E$16/12+$F$16)&gt;=$S$9,0,100*($S$9-(MAX(0,$C$16-$O$9)*($P$9/12)*(1+$P$9/12)^($Q$9*12)/((1+$P$9/12)^($Q$9*12)-1)+$D$16/12+$E$16/12+$F$16))/($S$9-$R$9)))</x:f>
        <x:v>100</x:v>
      </x:c>
      <x:c r="E47" s="91" t="n">
        <x:f>IF(SUM($F$9:$G$9)=0,0,C47*$F$9/SUM($F$9:$G$9)+D47*$G$9/SUM($F$9:$G$9))</x:f>
        <x:v>86.66666666666667</x:v>
      </x:c>
      <x:c r="F47" s="91" t="n">
        <x:f>MAX(0,MIN(100,$G$16*10))</x:f>
        <x:v>60</x:v>
      </x:c>
      <x:c r="G47" s="91" t="n">
        <x:f>MAX(0,MIN(100,$H$16*10))</x:f>
        <x:v>70</x:v>
      </x:c>
      <x:c r="H47" s="91" t="n">
        <x:f>IF($Y$9&lt;=0,0,MAX(0,100-50*$I$16/$Y$9))</x:f>
        <x:v>50</x:v>
      </x:c>
      <x:c r="I47" s="91" t="n">
        <x:f>IF(SUM($H$9:$J$9)=0,0,F47*$H$9/SUM($H$9:$J$9)+G47*$I$9/SUM($H$9:$J$9)+H47*$J$9/SUM($H$9:$J$9))</x:f>
        <x:v>61.25</x:v>
      </x:c>
      <x:c r="J47" s="91" t="n">
        <x:f>IF($J$16&lt;=$Z$9,0,IF($J$16&gt;=$AA$9,100,100*($J$16-$Z$9)/($AA$9-$Z$9)))</x:f>
        <x:v>0</x:v>
      </x:c>
      <x:c r="K47" s="91" t="n">
        <x:f>IF((IF($AB$9="Must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Have",1,0)))=0,100,100*(IF($K$16="Yes",IF($AB$9="Must Have",2,IF($AB$9="Nice to Have",1,0)),0)+IF($L$16="Yes",IF($AC$9="Must Have",2,IF($AC$9="Nice to Have",1,0)),0)+IF($M$16="Yes",IF($AD$9="Must Have",2,IF($AD$9="Nice to Have",1,0)),0)+IF($N$16="Yes",IF($AE$9="Must Have",2,IF($AE$9="Nice to Have",1,0)),0)+IF($O$16="Yes",IF($AF$9="Must Have",2,IF($AF$9="Nice to Have",1,0)),0)+IF($P$16="Yes",IF($AG$9="Must Have",2,IF($AG$9="Nice to Have",1,0)),0))/(IF($AB$9="Must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Have",1,0))))</x:f>
        <x:v>70</x:v>
      </x:c>
      <x:c r="L47" s="91" t="n">
        <x:f>IF(SUM($K$9:$L$9)=0,0,J47*$K$9/SUM($K$9:$L$9)+K47*$L$9/SUM($K$9:$L$9))</x:f>
        <x:v>35</x:v>
      </x:c>
      <x:c r="M47" s="91" t="n">
        <x:f>IF(SUM($C$9:$E$9)=0,0,E47*$C$9/SUM($C$9:$E$9)+I47*$D$9/SUM($C$9:$E$9)+L47*$E$9/SUM($C$9:$E$9))</x:f>
        <x:v>53.208333333333336</x:v>
      </x:c>
      <x:c r="N47" s="91" t="n">
        <x:f>RANK(M47,$M$44:$M$50,0)</x:f>
        <x:v>6</x:v>
      </x:c>
      <x:c r="O47" s="91" t="n">
        <x:f>IF($C$16&gt;$N$9,1,0)+IF((MAX(0,$C$16-$O$9)*($P$9/12)*(1+$P$9/12)^($Q$9*12)/((1+$P$9/12)^($Q$9*12)-1)+$D$16/12+$E$16/12+$F$16)&gt;$S$9,1,0)+IF($G$16&lt;$U$9,1,0)+IF($H$16&lt;$W$9,1,0)+IF($I$16&gt;$Y$9,1,0)+IF($J$16&lt;$Z$9,1,0)+IF(AND($AB$9="Must Have",$K$16&lt;&gt;"Yes"),1,0)+IF(AND($AC$9="Must Have",$L$16&lt;&gt;"Yes"),1,0)+IF(AND($AD$9="Must Have",$M$16&lt;&gt;"Yes"),1,0)+IF(AND($AE$9="Must Have",$N$16&lt;&gt;"Yes"),1,0)+IF(AND($AF$9="Must Have",$O$16&lt;&gt;"Yes"),1,0)+IF(AND($AG$9="Must Have",$P$16&lt;&gt;"Yes"),1,0)</x:f>
        <x:v>2</x:v>
      </x:c>
      <x:c r="P47" s="20" t="str">
        <x:f>IF(O47=0,"Best Matches","Other Homes to Consider")</x:f>
        <x:v>Other Homes to Consider</x:v>
      </x:c>
      <x:c r="Q47" s="20" t="n">
        <x:f>IF(O47=0,COUNTIFS($O$44:$O$50,0,$M$44:$M$50,"&gt;"&amp;M47)+1,COUNTIFS($O$44:$O$50,"&gt;0",$M$44:$M$50,"&gt;"&amp;M47)+1)</x:f>
        <x:v>4</x:v>
      </x:c>
      <x:c r="R47" s="20" t="str">
        <x:v>Clearly poor baseline / multiple limits</x:v>
      </x:c>
    </x:row>
    <x:row r="48">
      <x:c r="A48" s="20" t="str">
        <x:v>Buyer 4</x:v>
      </x:c>
      <x:c r="B48" s="20" t="str">
        <x:v>House E</x:v>
      </x:c>
      <x:c r="C48" s="91" t="n">
        <x:f>IF($C$17&lt;=$M$9,100,IF($C$17&gt;=$N$9,0,100*($N$9-$C$17)/($N$9-$M$9)))</x:f>
        <x:v>100</x:v>
      </x:c>
      <x:c r="D48" s="91" t="n">
        <x:f>IF((MAX(0,$C$17-$O$9)*($P$9/12)*(1+$P$9/12)^($Q$9*12)/((1+$P$9/12)^($Q$9*12)-1)+$D$17/12+$E$17/12+$F$17)&lt;=$R$9,100,IF((MAX(0,$C$17-$O$9)*($P$9/12)*(1+$P$9/12)^($Q$9*12)/((1+$P$9/12)^($Q$9*12)-1)+$D$17/12+$E$17/12+$F$17)&gt;=$S$9,0,100*($S$9-(MAX(0,$C$17-$O$9)*($P$9/12)*(1+$P$9/12)^($Q$9*12)/((1+$P$9/12)^($Q$9*12)-1)+$D$17/12+$E$17/12+$F$17))/($S$9-$R$9)))</x:f>
        <x:v>100</x:v>
      </x:c>
      <x:c r="E48" s="91" t="n">
        <x:f>IF(SUM($F$9:$G$9)=0,0,C48*$F$9/SUM($F$9:$G$9)+D48*$G$9/SUM($F$9:$G$9))</x:f>
        <x:v>100</x:v>
      </x:c>
      <x:c r="F48" s="91" t="n">
        <x:f>MAX(0,MIN(100,$G$17*10))</x:f>
        <x:v>50</x:v>
      </x:c>
      <x:c r="G48" s="91" t="n">
        <x:f>MAX(0,MIN(100,$H$17*10))</x:f>
        <x:v>50</x:v>
      </x:c>
      <x:c r="H48" s="91" t="n">
        <x:f>IF($Y$9&lt;=0,0,MAX(0,100-50*$I$17/$Y$9))</x:f>
        <x:v>45</x:v>
      </x:c>
      <x:c r="I48" s="91" t="n">
        <x:f>IF(SUM($H$9:$J$9)=0,0,F48*$H$9/SUM($H$9:$J$9)+G48*$I$9/SUM($H$9:$J$9)+H48*$J$9/SUM($H$9:$J$9))</x:f>
        <x:v>48.75</x:v>
      </x:c>
      <x:c r="J48" s="91" t="n">
        <x:f>IF($J$17&lt;=$Z$9,0,IF($J$17&gt;=$AA$9,100,100*($J$17-$Z$9)/($AA$9-$Z$9)))</x:f>
        <x:v>0</x:v>
      </x:c>
      <x:c r="K48" s="91" t="n">
        <x:f>IF((IF($AB$9="Must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Have",1,0)))=0,100,100*(IF($K$17="Yes",IF($AB$9="Must Have",2,IF($AB$9="Nice to Have",1,0)),0)+IF($L$17="Yes",IF($AC$9="Must Have",2,IF($AC$9="Nice to Have",1,0)),0)+IF($M$17="Yes",IF($AD$9="Must Have",2,IF($AD$9="Nice to Have",1,0)),0)+IF($N$17="Yes",IF($AE$9="Must Have",2,IF($AE$9="Nice to Have",1,0)),0)+IF($O$17="Yes",IF($AF$9="Must Have",2,IF($AF$9="Nice to Have",1,0)),0)+IF($P$17="Yes",IF($AG$9="Must Have",2,IF($AG$9="Nice to Have",1,0)),0))/(IF($AB$9="Must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Have",1,0))))</x:f>
        <x:v>0</x:v>
      </x:c>
      <x:c r="L48" s="91" t="n">
        <x:f>IF(SUM($K$9:$L$9)=0,0,J48*$K$9/SUM($K$9:$L$9)+K48*$L$9/SUM($K$9:$L$9))</x:f>
        <x:v>0</x:v>
      </x:c>
      <x:c r="M48" s="91" t="n">
        <x:f>IF(SUM($C$9:$E$9)=0,0,E48*$C$9/SUM($C$9:$E$9)+I48*$D$9/SUM($C$9:$E$9)+L48*$E$9/SUM($C$9:$E$9))</x:f>
        <x:v>34.625</x:v>
      </x:c>
      <x:c r="N48" s="91" t="n">
        <x:f>RANK(M48,$M$44:$M$50,0)</x:f>
        <x:v>7</x:v>
      </x:c>
      <x:c r="O48" s="91" t="n">
        <x:f>IF($C$17&gt;$N$9,1,0)+IF((MAX(0,$C$17-$O$9)*($P$9/12)*(1+$P$9/12)^($Q$9*12)/((1+$P$9/12)^($Q$9*12)-1)+$D$17/12+$E$17/12+$F$17)&gt;$S$9,1,0)+IF($G$17&lt;$U$9,1,0)+IF($H$17&lt;$W$9,1,0)+IF($I$17&gt;$Y$9,1,0)+IF($J$17&lt;$Z$9,1,0)+IF(AND($AB$9="Must Have",$K$17&lt;&gt;"Yes"),1,0)+IF(AND($AC$9="Must Have",$L$17&lt;&gt;"Yes"),1,0)+IF(AND($AD$9="Must Have",$M$17&lt;&gt;"Yes"),1,0)+IF(AND($AE$9="Must Have",$N$17&lt;&gt;"Yes"),1,0)+IF(AND($AF$9="Must Have",$O$17&lt;&gt;"Yes"),1,0)+IF(AND($AG$9="Must Have",$P$17&lt;&gt;"Yes"),1,0)</x:f>
        <x:v>8</x:v>
      </x:c>
      <x:c r="P48" s="20" t="str">
        <x:f>IF(O48=0,"Best Matches","Other Homes to Consider")</x:f>
        <x:v>Other Homes to Consider</x:v>
      </x:c>
      <x:c r="Q48" s="20" t="n">
        <x:f>IF(O48=0,COUNTIFS($O$44:$O$50,0,$M$44:$M$50,"&gt;"&amp;M48)+1,COUNTIFS($O$44:$O$50,"&gt;0",$M$44:$M$50,"&gt;"&amp;M48)+1)</x:f>
        <x:v>5</x:v>
      </x:c>
      <x:c r="R48" s="20" t="str">
        <x:v>Cheap but poor location/property</x:v>
      </x:c>
    </x:row>
    <x:row r="49">
      <x:c r="A49" s="20" t="str">
        <x:v>Buyer 4</x:v>
      </x:c>
      <x:c r="B49" s="20" t="str">
        <x:v>House F</x:v>
      </x:c>
      <x:c r="C49" s="91" t="n">
        <x:f>IF($C$18&lt;=$M$9,100,IF($C$18&gt;=$N$9,0,100*($N$9-$C$18)/($N$9-$M$9)))</x:f>
        <x:v>33.333333333333336</x:v>
      </x:c>
      <x:c r="D49" s="91" t="n">
        <x:f>IF((MAX(0,$C$18-$O$9)*($P$9/12)*(1+$P$9/12)^($Q$9*12)/((1+$P$9/12)^($Q$9*12)-1)+$D$18/12+$E$18/12+$F$18)&lt;=$R$9,100,IF((MAX(0,$C$18-$O$9)*($P$9/12)*(1+$P$9/12)^($Q$9*12)/((1+$P$9/12)^($Q$9*12)-1)+$D$18/12+$E$18/12+$F$18)&gt;=$S$9,0,100*($S$9-(MAX(0,$C$18-$O$9)*($P$9/12)*(1+$P$9/12)^($Q$9*12)/((1+$P$9/12)^($Q$9*12)-1)+$D$18/12+$E$18/12+$F$18))/($S$9-$R$9)))</x:f>
        <x:v>100</x:v>
      </x:c>
      <x:c r="E49" s="91" t="n">
        <x:f>IF(SUM($F$9:$G$9)=0,0,C49*$F$9/SUM($F$9:$G$9)+D49*$G$9/SUM($F$9:$G$9))</x:f>
        <x:v>73.33333333333333</x:v>
      </x:c>
      <x:c r="F49" s="91" t="n">
        <x:f>MAX(0,MIN(100,$G$18*10))</x:f>
        <x:v>100</x:v>
      </x:c>
      <x:c r="G49" s="91" t="n">
        <x:f>MAX(0,MIN(100,$H$18*10))</x:f>
        <x:v>100</x:v>
      </x:c>
      <x:c r="H49" s="91" t="n">
        <x:f>IF($Y$9&lt;=0,0,MAX(0,100-50*$I$18/$Y$9))</x:f>
        <x:v>88</x:v>
      </x:c>
      <x:c r="I49" s="91" t="n">
        <x:f>IF(SUM($H$9:$J$9)=0,0,F49*$H$9/SUM($H$9:$J$9)+G49*$I$9/SUM($H$9:$J$9)+H49*$J$9/SUM($H$9:$J$9))</x:f>
        <x:v>97</x:v>
      </x:c>
      <x:c r="J49" s="91" t="n">
        <x:f>IF($J$18&lt;=$Z$9,0,IF($J$18&gt;=$AA$9,100,100*($J$18-$Z$9)/($AA$9-$Z$9)))</x:f>
        <x:v>100</x:v>
      </x:c>
      <x:c r="K49" s="91" t="n">
        <x:f>IF((IF($AB$9="Must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Have",1,0)))=0,100,100*(IF($K$18="Yes",IF($AB$9="Must Have",2,IF($AB$9="Nice to Have",1,0)),0)+IF($L$18="Yes",IF($AC$9="Must Have",2,IF($AC$9="Nice to Have",1,0)),0)+IF($M$18="Yes",IF($AD$9="Must Have",2,IF($AD$9="Nice to Have",1,0)),0)+IF($N$18="Yes",IF($AE$9="Must Have",2,IF($AE$9="Nice to Have",1,0)),0)+IF($O$18="Yes",IF($AF$9="Must Have",2,IF($AF$9="Nice to Have",1,0)),0)+IF($P$18="Yes",IF($AG$9="Must Have",2,IF($AG$9="Nice to Have",1,0)),0))/(IF($AB$9="Must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Have",1,0))))</x:f>
        <x:v>100</x:v>
      </x:c>
      <x:c r="L49" s="91" t="n">
        <x:f>IF(SUM($K$9:$L$9)=0,0,J49*$K$9/SUM($K$9:$L$9)+K49*$L$9/SUM($K$9:$L$9))</x:f>
        <x:v>100</x:v>
      </x:c>
      <x:c r="M49" s="91" t="n">
        <x:f>IF(SUM($C$9:$E$9)=0,0,E49*$C$9/SUM($C$9:$E$9)+I49*$D$9/SUM($C$9:$E$9)+L49*$E$9/SUM($C$9:$E$9))</x:f>
        <x:v>93.76666666666667</x:v>
      </x:c>
      <x:c r="N49" s="91" t="n">
        <x:f>RANK(M49,$M$44:$M$50,0)</x:f>
        <x:v>1</x:v>
      </x:c>
      <x:c r="O49" s="91" t="n">
        <x:f>IF($C$18&gt;$N$9,1,0)+IF((MAX(0,$C$18-$O$9)*($P$9/12)*(1+$P$9/12)^($Q$9*12)/((1+$P$9/12)^($Q$9*12)-1)+$D$18/12+$E$18/12+$F$18)&gt;$S$9,1,0)+IF($G$18&lt;$U$9,1,0)+IF($H$18&lt;$W$9,1,0)+IF($I$18&gt;$Y$9,1,0)+IF($J$18&lt;$Z$9,1,0)+IF(AND($AB$9="Must Have",$K$18&lt;&gt;"Yes"),1,0)+IF(AND($AC$9="Must Have",$L$18&lt;&gt;"Yes"),1,0)+IF(AND($AD$9="Must Have",$M$18&lt;&gt;"Yes"),1,0)+IF(AND($AE$9="Must Have",$N$18&lt;&gt;"Yes"),1,0)+IF(AND($AF$9="Must Have",$O$18&lt;&gt;"Yes"),1,0)+IF(AND($AG$9="Must Have",$P$18&lt;&gt;"Yes"),1,0)</x:f>
        <x:v>0</x:v>
      </x:c>
      <x:c r="P49" s="20" t="str">
        <x:f>IF(O49=0,"Best Matches","Other Homes to Consider")</x:f>
        <x:v>Best Matches</x:v>
      </x:c>
      <x:c r="Q49" s="20" t="n">
        <x:f>IF(O49=0,COUNTIFS($O$44:$O$50,0,$M$44:$M$50,"&gt;"&amp;M49)+1,COUNTIFS($O$44:$O$50,"&gt;0",$M$44:$M$50,"&gt;"&amp;M49)+1)</x:f>
        <x:v>1</x:v>
      </x:c>
      <x:c r="R49" s="20" t="str">
        <x:v>Expensive but exceptional location/property</x:v>
      </x:c>
    </x:row>
    <x:row r="50">
      <x:c r="A50" s="20" t="str">
        <x:v>Buyer 4</x:v>
      </x:c>
      <x:c r="B50" s="20" t="str">
        <x:v>House G</x:v>
      </x:c>
      <x:c r="C50" s="91" t="n">
        <x:f>IF($C$19&lt;=$M$9,100,IF($C$19&gt;=$N$9,0,100*($N$9-$C$19)/($N$9-$M$9)))</x:f>
        <x:v>100</x:v>
      </x:c>
      <x:c r="D50" s="91" t="n">
        <x:f>IF((MAX(0,$C$19-$O$9)*($P$9/12)*(1+$P$9/12)^($Q$9*12)/((1+$P$9/12)^($Q$9*12)-1)+$D$19/12+$E$19/12+$F$19)&lt;=$R$9,100,IF((MAX(0,$C$19-$O$9)*($P$9/12)*(1+$P$9/12)^($Q$9*12)/((1+$P$9/12)^($Q$9*12)-1)+$D$19/12+$E$19/12+$F$19)&gt;=$S$9,0,100*($S$9-(MAX(0,$C$19-$O$9)*($P$9/12)*(1+$P$9/12)^($Q$9*12)/((1+$P$9/12)^($Q$9*12)-1)+$D$19/12+$E$19/12+$F$19))/($S$9-$R$9)))</x:f>
        <x:v>100</x:v>
      </x:c>
      <x:c r="E50" s="91" t="n">
        <x:f>IF(SUM($F$9:$G$9)=0,0,C50*$F$9/SUM($F$9:$G$9)+D50*$G$9/SUM($F$9:$G$9))</x:f>
        <x:v>100</x:v>
      </x:c>
      <x:c r="F50" s="91" t="n">
        <x:f>MAX(0,MIN(100,$G$19*10))</x:f>
        <x:v>80</x:v>
      </x:c>
      <x:c r="G50" s="91" t="n">
        <x:f>MAX(0,MIN(100,$H$19*10))</x:f>
        <x:v>80</x:v>
      </x:c>
      <x:c r="H50" s="91" t="n">
        <x:f>IF($Y$9&lt;=0,0,MAX(0,100-50*$I$19/$Y$9))</x:f>
        <x:v>72</x:v>
      </x:c>
      <x:c r="I50" s="91" t="n">
        <x:f>IF(SUM($H$9:$J$9)=0,0,F50*$H$9/SUM($H$9:$J$9)+G50*$I$9/SUM($H$9:$J$9)+H50*$J$9/SUM($H$9:$J$9))</x:f>
        <x:v>78</x:v>
      </x:c>
      <x:c r="J50" s="91" t="n">
        <x:f>IF($J$19&lt;=$Z$9,0,IF($J$19&gt;=$AA$9,100,100*($J$19-$Z$9)/($AA$9-$Z$9)))</x:f>
        <x:v>18.75</x:v>
      </x:c>
      <x:c r="K50" s="91" t="n">
        <x:f>IF((IF($AB$9="Must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Have",1,0)))=0,100,100*(IF($K$19="Yes",IF($AB$9="Must Have",2,IF($AB$9="Nice to Have",1,0)),0)+IF($L$19="Yes",IF($AC$9="Must Have",2,IF($AC$9="Nice to Have",1,0)),0)+IF($M$19="Yes",IF($AD$9="Must Have",2,IF($AD$9="Nice to Have",1,0)),0)+IF($N$19="Yes",IF($AE$9="Must Have",2,IF($AE$9="Nice to Have",1,0)),0)+IF($O$19="Yes",IF($AF$9="Must Have",2,IF($AF$9="Nice to Have",1,0)),0)+IF($P$19="Yes",IF($AG$9="Must Have",2,IF($AG$9="Nice to Have",1,0)),0))/(IF($AB$9="Must Have",2,IF($AB$9="Nice to Have",1,0))+IF($AC$9="Must Have",2,IF($AC$9="Nice to Have",1,0))+IF($AD$9="Must Have",2,IF($AD$9="Nice to Have",1,0))+IF($AE$9="Must Have",2,IF($AE$9="Nice to Have",1,0))+IF($AF$9="Must Have",2,IF($AF$9="Nice to Have",1,0))+IF($AG$9="Must Have",2,IF($AG$9="Nice to Have",1,0))))</x:f>
        <x:v>70</x:v>
      </x:c>
      <x:c r="L50" s="91" t="n">
        <x:f>IF(SUM($K$9:$L$9)=0,0,J50*$K$9/SUM($K$9:$L$9)+K50*$L$9/SUM($K$9:$L$9))</x:f>
        <x:v>44.375</x:v>
      </x:c>
      <x:c r="M50" s="91" t="n">
        <x:f>IF(SUM($C$9:$E$9)=0,0,E50*$C$9/SUM($C$9:$E$9)+I50*$D$9/SUM($C$9:$E$9)+L50*$E$9/SUM($C$9:$E$9))</x:f>
        <x:v>65.5875</x:v>
      </x:c>
      <x:c r="N50" s="91" t="n">
        <x:f>RANK(M50,$M$44:$M$50,0)</x:f>
        <x:v>3</x:v>
      </x:c>
      <x:c r="O50" s="91" t="n">
        <x:f>IF($C$19&gt;$N$9,1,0)+IF((MAX(0,$C$19-$O$9)*($P$9/12)*(1+$P$9/12)^($Q$9*12)/((1+$P$9/12)^($Q$9*12)-1)+$D$19/12+$E$19/12+$F$19)&gt;$S$9,1,0)+IF($G$19&lt;$U$9,1,0)+IF($H$19&lt;$W$9,1,0)+IF($I$19&gt;$Y$9,1,0)+IF($J$19&lt;$Z$9,1,0)+IF(AND($AB$9="Must Have",$K$19&lt;&gt;"Yes"),1,0)+IF(AND($AC$9="Must Have",$L$19&lt;&gt;"Yes"),1,0)+IF(AND($AD$9="Must Have",$M$19&lt;&gt;"Yes"),1,0)+IF(AND($AE$9="Must Have",$N$19&lt;&gt;"Yes"),1,0)+IF(AND($AF$9="Must Have",$O$19&lt;&gt;"Yes"),1,0)+IF(AND($AG$9="Must Have",$P$19&lt;&gt;"Yes"),1,0)</x:f>
        <x:v>1</x:v>
      </x:c>
      <x:c r="P50" s="20" t="str">
        <x:f>IF(O50=0,"Best Matches","Other Homes to Consider")</x:f>
        <x:v>Other Homes to Consider</x:v>
      </x:c>
      <x:c r="Q50" s="20" t="n">
        <x:f>IF(O50=0,COUNTIFS($O$44:$O$50,0,$M$44:$M$50,"&gt;"&amp;M50)+1,COUNTIFS($O$44:$O$50,"&gt;0",$M$44:$M$50,"&gt;"&amp;M50)+1)</x:f>
        <x:v>1</x:v>
      </x:c>
      <x:c r="R50" s="20" t="str">
        <x:v>Balanced / no obvious extreme</x:v>
      </x:c>
    </x:row>
  </x:sheetData>
  <x:mergeCells>
    <x:mergeCell ref="A1:AZ1"/>
    <x:mergeCell ref="A2:AZ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4" hidden="0" customWidth="1"/>
    <x:col min="4" max="4" width="38" hidden="0" customWidth="1"/>
    <x:col min="5" max="5" width="38" hidden="0" customWidth="1"/>
    <x:col min="6" max="6" width="34" hidden="0" customWidth="1"/>
  </x:cols>
  <x:sheetData>
    <x:row r="1">
      <x:c r="A1" s="128" t="str">
        <x:v>HomeScore AI — Prototype 1 Reference</x:v>
      </x:c>
      <x:c r="B1" s="128"/>
      <x:c r="C1" s="128"/>
      <x:c r="D1" s="128"/>
      <x:c r="E1" s="128"/>
      <x:c r="F1" s="128"/>
    </x:row>
    <x:row r="2">
      <x:c r="A2" s="131" t="str">
        <x:v>Frozen product behavior for the first playable prototype. Test comprehension, trust, and reactions before adding functionality.</x:v>
      </x:c>
      <x:c r="B2" s="131"/>
      <x:c r="C2" s="131"/>
      <x:c r="D2" s="131"/>
      <x:c r="E2" s="131"/>
      <x:c r="F2" s="131"/>
    </x:row>
    <x:row r="4">
      <x:c r="A4" s="124" t="str">
        <x:v>Area</x:v>
      </x:c>
      <x:c r="B4" s="124" t="str">
        <x:v>Standard user input</x:v>
      </x:c>
      <x:c r="C4" s="124" t="str">
        <x:v>If importance = 0</x:v>
      </x:c>
      <x:c r="D4" s="124" t="str">
        <x:v>Fit behavior</x:v>
      </x:c>
      <x:c r="E4" s="124" t="str">
        <x:v>Threshold behavior</x:v>
      </x:c>
      <x:c r="F4" s="124" t="str">
        <x:v>Prototype output</x:v>
      </x:c>
    </x:row>
    <x:row r="5">
      <x:c r="A5" s="20" t="str">
        <x:v>Overall priorities</x:v>
      </x:c>
      <x:c r="B5" s="20" t="str">
        <x:v>Affordability / Location / Property importance, each 0–5</x:v>
      </x:c>
      <x:c r="C5" s="20" t="str">
        <x:v>Exclude that dimension</x:v>
      </x:c>
      <x:c r="D5" s="20" t="str">
        <x:v>Normalize active dimension weights</x:v>
      </x:c>
      <x:c r="E5" s="20" t="str">
        <x:v>None</x:v>
      </x:c>
      <x:c r="F5" s="20" t="str">
        <x:v>Final HomeScore 0–100</x:v>
      </x:c>
    </x:row>
    <x:row r="6">
      <x:c r="A6" s="20" t="str">
        <x:v>Affordability</x:v>
      </x:c>
      <x:c r="B6" s="20" t="str">
        <x:v>Price importance; Monthly Cost importance; target/max price; down payment; target/max monthly</x:v>
      </x:c>
      <x:c r="C6" s="20" t="str">
        <x:v>Skip related detail</x:v>
      </x:c>
      <x:c r="D6" s="20" t="str">
        <x:v>Price Fit + Monthly Housing Fit</x:v>
      </x:c>
      <x:c r="E6" s="20" t="str">
        <x:v>Max price and max monthly checked separately</x:v>
      </x:c>
      <x:c r="F6" s="20" t="str">
        <x:v>Fit + threshold exceptions</x:v>
      </x:c>
    </x:row>
    <x:row r="7">
      <x:c r="A7" s="20" t="str">
        <x:v>School</x:v>
      </x:c>
      <x:c r="B7" s="20" t="str">
        <x:v>Importance 0–5; Minimum School Quality 1–10</x:v>
      </x:c>
      <x:c r="C7" s="20" t="str">
        <x:v>Skip minimum question</x:v>
      </x:c>
      <x:c r="D7" s="20" t="str">
        <x:v>Actual school rating × 10</x:v>
      </x:c>
      <x:c r="E7" s="20" t="str">
        <x:v>Below minimum is flagged</x:v>
      </x:c>
      <x:c r="F7" s="20" t="str">
        <x:v>School Fit + exception if needed</x:v>
      </x:c>
    </x:row>
    <x:row r="8">
      <x:c r="A8" s="20" t="str">
        <x:v>Safety</x:v>
      </x:c>
      <x:c r="B8" s="20" t="str">
        <x:v>Importance 0–5; Minimum Safety Score 1–10</x:v>
      </x:c>
      <x:c r="C8" s="20" t="str">
        <x:v>Skip minimum question</x:v>
      </x:c>
      <x:c r="D8" s="20" t="str">
        <x:v>Actual safety rating × 10</x:v>
      </x:c>
      <x:c r="E8" s="20" t="str">
        <x:v>Below minimum is flagged</x:v>
      </x:c>
      <x:c r="F8" s="20" t="str">
        <x:v>Safety Fit + exception if needed</x:v>
      </x:c>
    </x:row>
    <x:row r="9">
      <x:c r="A9" s="20" t="str">
        <x:v>Commute</x:v>
      </x:c>
      <x:c r="B9" s="20" t="str">
        <x:v>Importance 0–5; Maximum one-way commute</x:v>
      </x:c>
      <x:c r="C9" s="20" t="str">
        <x:v>Skip destination/max question</x:v>
      </x:c>
      <x:c r="D9" s="20" t="str">
        <x:v>MAX(0,100-50×Actual/Maximum)</x:v>
      </x:c>
      <x:c r="E9" s="20" t="str">
        <x:v>Above maximum flagged; at maximum Fit=50 and still meets threshold</x:v>
      </x:c>
      <x:c r="F9" s="20" t="str">
        <x:v>Commute Fit + minutes over if needed</x:v>
      </x:c>
    </x:row>
    <x:row r="10">
      <x:c r="A10" s="20" t="str">
        <x:v>Property size</x:v>
      </x:c>
      <x:c r="B10" s="20" t="str">
        <x:v>Importance 0–5; Minimum and Target Sq Ft</x:v>
      </x:c>
      <x:c r="C10" s="20" t="str">
        <x:v>Skip size questions</x:v>
      </x:c>
      <x:c r="D10" s="20" t="str">
        <x:v>Linear from 0 at minimum to 100 at target; cap at 100</x:v>
      </x:c>
      <x:c r="E10" s="20" t="str">
        <x:v>Below minimum is flagged</x:v>
      </x:c>
      <x:c r="F10" s="20" t="str">
        <x:v>Size Fit + exception if needed</x:v>
      </x:c>
    </x:row>
    <x:row r="11">
      <x:c r="A11" s="20" t="str">
        <x:v>Amenities</x:v>
      </x:c>
      <x:c r="B11" s="20" t="str">
        <x:v>Importance 0–5; Don't Care / Nice to Have / Must Have</x:v>
      </x:c>
      <x:c r="C11" s="20" t="str">
        <x:v>Skip amenity questions</x:v>
      </x:c>
      <x:c r="D11" s="20" t="str">
        <x:v>Nice=1, Must=2 in Amenities Fit</x:v>
      </x:c>
      <x:c r="E11" s="20" t="str">
        <x:v>Missing Must Have is flagged</x:v>
      </x:c>
      <x:c r="F11" s="20" t="str">
        <x:v>Amenities Fit + missing Must Have detail</x:v>
      </x:c>
    </x:row>
    <x:row r="12">
      <x:c r="A12" s="20"/>
      <x:c r="B12" s="20"/>
      <x:c r="C12" s="20"/>
      <x:c r="D12" s="20"/>
      <x:c r="E12" s="20"/>
      <x:c r="F12" s="20"/>
    </x:row>
    <x:row r="13">
      <x:c r="A13" s="124" t="str">
        <x:v>Order</x:v>
      </x:c>
      <x:c r="B13" s="124" t="str">
        <x:v>Group</x:v>
      </x:c>
      <x:c r="C13" s="124" t="str">
        <x:v>Ordering</x:v>
      </x:c>
      <x:c r="D13" s="124" t="str">
        <x:v>Score treatment</x:v>
      </x:c>
      <x:c r="E13" s="124" t="str">
        <x:v>Visibility</x:v>
      </x:c>
      <x:c r="F13" s="124" t="str">
        <x:v>Reason</x:v>
      </x:c>
    </x:row>
    <x:row r="14">
      <x:c r="A14" s="20" t="n">
        <x:v>1</x:v>
      </x:c>
      <x:c r="B14" s="20" t="str">
        <x:v>Best Matches</x:v>
      </x:c>
      <x:c r="C14" s="20" t="str">
        <x:v>Highest HomeScore first</x:v>
      </x:c>
      <x:c r="D14" s="20" t="str">
        <x:v>No constraint penalty</x:v>
      </x:c>
      <x:c r="E14" s="20" t="str">
        <x:v>Shown first</x:v>
      </x:c>
      <x:c r="F14" s="20" t="str">
        <x:v>Meets all stated thresholds</x:v>
      </x:c>
    </x:row>
    <x:row r="15">
      <x:c r="A15" s="20" t="n">
        <x:v>2</x:v>
      </x:c>
      <x:c r="B15" s="20" t="str">
        <x:v>Other Homes to Consider</x:v>
      </x:c>
      <x:c r="C15" s="20" t="str">
        <x:v>Highest HomeScore first</x:v>
      </x:c>
      <x:c r="D15" s="20" t="str">
        <x:v>Keep original unmodified HomeScore</x:v>
      </x:c>
      <x:c r="E15" s="20" t="str">
        <x:v>Still shown</x:v>
      </x:c>
      <x:c r="F15" s="20" t="str">
        <x:v>One or more stated thresholds are outside buyer limits</x:v>
      </x:c>
    </x:row>
    <x:row r="16">
      <x:c r="A16" s="20"/>
      <x:c r="B16" s="20"/>
      <x:c r="C16" s="20"/>
      <x:c r="D16" s="20"/>
      <x:c r="E16" s="20"/>
      <x:c r="F16" s="20"/>
    </x:row>
    <x:row r="17">
      <x:c r="A17" s="20" t="str">
        <x:v>User-testing principle: keep user-facing wording flexible (requirement, limit, threshold, preference). Observe how testers interpret result groups and warnings before locking terminology.</x:v>
      </x:c>
      <x:c r="B17" s="20"/>
      <x:c r="C17" s="20"/>
      <x:c r="D17" s="20"/>
      <x:c r="E17" s="20"/>
      <x:c r="F17" s="20"/>
    </x:row>
  </x:sheetData>
  <x:mergeCells>
    <x:mergeCell ref="A1:F1"/>
    <x:mergeCell ref="A2:F2"/>
    <x:mergeCell ref="A17:F17"/>
  </x:mergeCells>
  <x:pageMargins left="0.7" right="0.7" top="0.75" bottom="0.75" header="0.3" footer="0.3"/>
</x:worksheet>
</file>